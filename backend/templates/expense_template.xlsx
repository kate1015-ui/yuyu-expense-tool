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16珮瑜" sheetId="1" r:id="rId4"/>
    <sheet state="hidden" name="112華友聯" sheetId="2" r:id="rId5"/>
    <sheet state="hidden" name="113超老闆" sheetId="3" r:id="rId6"/>
    <sheet state="hidden" name="122珮瑜" sheetId="4" r:id="rId7"/>
    <sheet state="hidden" name="126悦光" sheetId="5" r:id="rId8"/>
    <sheet state="hidden" name="127新東陽" sheetId="6" r:id="rId9"/>
    <sheet state="hidden" name="128黃金甲" sheetId="7" r:id="rId10"/>
    <sheet state="hidden" name="22悦光" sheetId="8" r:id="rId11"/>
    <sheet state="hidden" name="24淨淨" sheetId="9" r:id="rId12"/>
    <sheet state="hidden" name="210Mybra" sheetId="10" r:id="rId13"/>
    <sheet state="hidden" name="225BTL" sheetId="11" r:id="rId14"/>
    <sheet state="hidden" name="32彭賢禮" sheetId="12" r:id="rId15"/>
    <sheet state="hidden" name="312珮瑜" sheetId="13" r:id="rId16"/>
    <sheet state="hidden" name="316新東陽" sheetId="14" r:id="rId17"/>
    <sheet state="hidden" name="317BTL" sheetId="15" r:id="rId18"/>
    <sheet state="hidden" name="320淨淨" sheetId="16" r:id="rId19"/>
    <sheet state="hidden" name="323琪欣" sheetId="17" r:id="rId20"/>
    <sheet state="hidden" name="324新竹店" sheetId="18" r:id="rId21"/>
    <sheet state="hidden" name="325御衣坊提案" sheetId="19" r:id="rId22"/>
    <sheet state="hidden" name="330彭賢禮" sheetId="20" r:id="rId23"/>
    <sheet state="visible" name="42彭賢禮" sheetId="21" r:id="rId24"/>
    <sheet state="visible" name="48黃金甲" sheetId="22" r:id="rId25"/>
    <sheet state="visible" name="413華友聯" sheetId="23" r:id="rId26"/>
    <sheet state="visible" name="414鴻鼎" sheetId="24" r:id="rId27"/>
    <sheet state="visible" name="空白表單" sheetId="25" r:id="rId28"/>
  </sheets>
  <definedNames/>
  <calcPr/>
  <extLst>
    <ext uri="GoogleSheetsCustomDataVersion2">
      <go:sheetsCustomData xmlns:go="http://customooxmlschemas.google.com/" r:id="rId29" roundtripDataChecksum="YwpfUiGbjdpMtfgoV2F5j4l6IBjUzbj+MIt79mkG/XE="/>
    </ext>
  </extLst>
</workbook>
</file>

<file path=xl/sharedStrings.xml><?xml version="1.0" encoding="utf-8"?>
<sst xmlns="http://schemas.openxmlformats.org/spreadsheetml/2006/main" count="940" uniqueCount="100">
  <si>
    <t>出差旅費報告表</t>
  </si>
  <si>
    <t>姓名</t>
  </si>
  <si>
    <t>黃聖婷</t>
  </si>
  <si>
    <t>單位</t>
  </si>
  <si>
    <t>嶼嶼行銷</t>
  </si>
  <si>
    <t>職稱</t>
  </si>
  <si>
    <t>攝影師</t>
  </si>
  <si>
    <t>事由</t>
  </si>
  <si>
    <t>拍攝珮瑜</t>
  </si>
  <si>
    <t>期間</t>
  </si>
  <si>
    <t>至</t>
  </si>
  <si>
    <t>止</t>
  </si>
  <si>
    <t>日期</t>
  </si>
  <si>
    <t>起訖地點</t>
  </si>
  <si>
    <t>交通費</t>
  </si>
  <si>
    <t>住宿費</t>
  </si>
  <si>
    <t>膳雜費</t>
  </si>
  <si>
    <t>合計</t>
  </si>
  <si>
    <t>工具</t>
  </si>
  <si>
    <t>金額</t>
  </si>
  <si>
    <t>飯店</t>
  </si>
  <si>
    <t>摘要</t>
  </si>
  <si>
    <t>公司-珮瑜公司
(19.6公里)</t>
  </si>
  <si>
    <t>自行開車</t>
  </si>
  <si>
    <t>&amp;荷舒</t>
  </si>
  <si>
    <t>珮瑜公司-公司
(20.1公里)</t>
  </si>
  <si>
    <t>人(膳雜費)</t>
  </si>
  <si>
    <t>新台幣小計</t>
  </si>
  <si>
    <t>核准：</t>
  </si>
  <si>
    <t>財務會計：</t>
  </si>
  <si>
    <t>主管核准：</t>
  </si>
  <si>
    <t>出差人：</t>
  </si>
  <si>
    <t>拍攝華友聯</t>
  </si>
  <si>
    <t>聖婷家-高鐵</t>
  </si>
  <si>
    <t>計程車</t>
  </si>
  <si>
    <t>高鐵-公司</t>
  </si>
  <si>
    <t>拍攝超老闆</t>
  </si>
  <si>
    <t>聖婷家-超老闆公司
(168公里)</t>
  </si>
  <si>
    <t>&amp;柏堯</t>
  </si>
  <si>
    <t>超老闆公司-聖婷家
(169公里)</t>
  </si>
  <si>
    <t>通行費</t>
  </si>
  <si>
    <t>停車費</t>
  </si>
  <si>
    <t>公司-珮瑜公司</t>
  </si>
  <si>
    <t>&amp;舒</t>
  </si>
  <si>
    <t>珮瑜公司-公司</t>
  </si>
  <si>
    <t>拍攝悦光</t>
  </si>
  <si>
    <t>公司-悦光診所
(222公里)</t>
  </si>
  <si>
    <t>悦光診所-公司
(218公里)</t>
  </si>
  <si>
    <t>拍攝新東陽</t>
  </si>
  <si>
    <t>文森家-一畝好田
(51.9公里)</t>
  </si>
  <si>
    <t>&amp;文森</t>
  </si>
  <si>
    <t>一畝好田-宗哥草莓園
(66.8公里)</t>
  </si>
  <si>
    <t>宗哥草莓園-文森家
(39.1公里)</t>
  </si>
  <si>
    <t>拍攝黃金甲</t>
  </si>
  <si>
    <t>淡水捷運-北車</t>
  </si>
  <si>
    <t>捷運</t>
  </si>
  <si>
    <t>台中-高雄</t>
  </si>
  <si>
    <t>高鐵</t>
  </si>
  <si>
    <t>高雄-台中</t>
  </si>
  <si>
    <t>新左營-診所</t>
  </si>
  <si>
    <t>診所-新左營</t>
  </si>
  <si>
    <t>家-台中高鐵</t>
  </si>
  <si>
    <t>新烏日-四維國小</t>
  </si>
  <si>
    <t>拍攝淨淨</t>
  </si>
  <si>
    <t>聖婷家-淨淨</t>
  </si>
  <si>
    <t>&amp;阿撓</t>
  </si>
  <si>
    <t>淨淨-聖婷家</t>
  </si>
  <si>
    <t>拍攝Mybra</t>
  </si>
  <si>
    <t>公司-Mybra公司</t>
  </si>
  <si>
    <t>Mybra公司-公司</t>
  </si>
  <si>
    <t>拍攝BTL</t>
  </si>
  <si>
    <t>公司-中科大</t>
  </si>
  <si>
    <t>&amp;容靚</t>
  </si>
  <si>
    <t>中科大-公司</t>
  </si>
  <si>
    <t xml:space="preserve">拍攝彭賢禮
</t>
  </si>
  <si>
    <t>高鐵-四維國小</t>
  </si>
  <si>
    <t>珮瑜拍攝</t>
  </si>
  <si>
    <t>新東陽拍攝</t>
  </si>
  <si>
    <t>聖婷家-文森家
(7.9公里)</t>
  </si>
  <si>
    <t>文森家-廣福宮
(64.3公里)</t>
  </si>
  <si>
    <t>廣福宮-西螺服務區
(4公里)</t>
  </si>
  <si>
    <t>西螺服務區-文森家
(63.2公里)</t>
  </si>
  <si>
    <t>文森家-聖婷家
(8.4公里)</t>
  </si>
  <si>
    <t>&amp;絞刑</t>
  </si>
  <si>
    <t>體大-勤美</t>
  </si>
  <si>
    <t>勤美-公司</t>
  </si>
  <si>
    <t>拍攝琪欣</t>
  </si>
  <si>
    <t>聖婷家-柏堯家
(5.8公里)</t>
  </si>
  <si>
    <t>柏堯家-林口琪欣
(160公里)</t>
  </si>
  <si>
    <t>林口琪欣-龜山琪欣
(3公里)</t>
  </si>
  <si>
    <t>龜山琪欣-聖婷家
(158公里)</t>
  </si>
  <si>
    <t>拍攝新竹店</t>
  </si>
  <si>
    <t>文森家-新竹店
(125公里)</t>
  </si>
  <si>
    <t>新竹店-文森家
(117公里)</t>
  </si>
  <si>
    <t>御衣坊提案</t>
  </si>
  <si>
    <t>聖婷家-台中高鐵</t>
  </si>
  <si>
    <t>台中高鐵-四維國小</t>
  </si>
  <si>
    <t>拍攝鴻鼎果子</t>
  </si>
  <si>
    <t>公司-鴻鼎果子</t>
  </si>
  <si>
    <t>與00共乘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</si>
</sst>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£ &quot;#,##0.00"/>
    <numFmt numFmtId="165" formatCode="yyyy/m/d"/>
    <numFmt numFmtId="166" formatCode="&quot;¥&quot;#,##0.00\ ;&quot;¥&quot;\(#,##0.00\)"/>
    <numFmt numFmtId="167" formatCode="&quot;NT$&quot;#,##0"/>
    <numFmt numFmtId="168" formatCode="[$NT$-404]#,##0"/>
  </numFmts>
  <fonts count="9">
    <font>
      <sz val="10.0"/>
      <color rgb="FF000000"/>
      <name val="Arial"/>
      <scheme val="minor"/>
    </font>
    <font>
      <color theme="1"/>
      <name val="Arial"/>
    </font>
    <font>
      <b/>
      <sz val="17.0"/>
      <color rgb="FF000000"/>
      <name val="Microsoft JhengHei"/>
    </font>
    <font/>
    <font>
      <sz val="13.0"/>
      <color rgb="FF000000"/>
      <name val="Microsoft JhengHei"/>
    </font>
    <font>
      <sz val="11.0"/>
      <color rgb="FF000000"/>
      <name val="Microsoft JhengHei"/>
    </font>
    <font>
      <b/>
      <sz val="12.0"/>
      <color rgb="FF000000"/>
      <name val="Microsoft JhengHei"/>
    </font>
    <font>
      <b/>
      <sz val="11.0"/>
      <color rgb="FF000000"/>
      <name val="Microsoft JhengHei"/>
    </font>
    <font>
      <sz val="10.0"/>
      <color theme="1"/>
      <name val="Microsoft JhengHei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center" shrinkToFit="0" vertical="center" wrapText="1"/>
    </xf>
    <xf borderId="1" fillId="2" fontId="2" numFmtId="164" xfId="0" applyAlignment="1" applyBorder="1" applyFill="1" applyFont="1" applyNumberFormat="1">
      <alignment horizontal="center" shrinkToFit="0" vertical="center" wrapText="0"/>
    </xf>
    <xf borderId="2" fillId="0" fontId="3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shrinkToFit="0" wrapText="1"/>
    </xf>
    <xf borderId="7" fillId="0" fontId="4" numFmtId="0" xfId="0" applyAlignment="1" applyBorder="1" applyFont="1">
      <alignment horizontal="center" shrinkToFit="0" vertical="center" wrapText="0"/>
    </xf>
    <xf borderId="8" fillId="0" fontId="3" numFmtId="0" xfId="0" applyAlignment="1" applyBorder="1" applyFont="1">
      <alignment shrinkToFit="0" wrapText="1"/>
    </xf>
    <xf borderId="9" fillId="0" fontId="4" numFmtId="0" xfId="0" applyAlignment="1" applyBorder="1" applyFont="1">
      <alignment horizontal="center" readingOrder="0" shrinkToFit="0" vertical="center" wrapText="0"/>
    </xf>
    <xf borderId="9" fillId="0" fontId="4" numFmtId="0" xfId="0" applyAlignment="1" applyBorder="1" applyFont="1">
      <alignment horizontal="center" shrinkToFit="0" vertical="center" wrapText="0"/>
    </xf>
    <xf borderId="10" fillId="0" fontId="3" numFmtId="0" xfId="0" applyAlignment="1" applyBorder="1" applyFont="1">
      <alignment shrinkToFit="0" wrapText="1"/>
    </xf>
    <xf borderId="9" fillId="0" fontId="4" numFmtId="37" xfId="0" applyAlignment="1" applyBorder="1" applyFont="1" applyNumberFormat="1">
      <alignment horizontal="center" shrinkToFit="0" vertical="center" wrapText="0"/>
    </xf>
    <xf borderId="7" fillId="0" fontId="4" numFmtId="37" xfId="0" applyAlignment="1" applyBorder="1" applyFont="1" applyNumberFormat="1">
      <alignment horizontal="center" shrinkToFit="0" vertical="center" wrapText="0"/>
    </xf>
    <xf borderId="1" fillId="0" fontId="4" numFmtId="0" xfId="0" applyAlignment="1" applyBorder="1" applyFont="1">
      <alignment horizontal="center" readingOrder="0" shrinkToFit="0" wrapText="1"/>
    </xf>
    <xf borderId="7" fillId="0" fontId="4" numFmtId="165" xfId="0" applyAlignment="1" applyBorder="1" applyFont="1" applyNumberFormat="1">
      <alignment horizontal="center" readingOrder="0" shrinkToFit="0" vertical="center" wrapText="0"/>
    </xf>
    <xf borderId="8" fillId="0" fontId="4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11" fillId="0" fontId="4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center" shrinkToFit="0" vertical="center" wrapText="0"/>
    </xf>
    <xf borderId="4" fillId="0" fontId="4" numFmtId="166" xfId="0" applyAlignment="1" applyBorder="1" applyFont="1" applyNumberFormat="1">
      <alignment horizontal="center" shrinkToFit="0" vertical="center" wrapText="1"/>
    </xf>
    <xf borderId="12" fillId="0" fontId="4" numFmtId="166" xfId="0" applyAlignment="1" applyBorder="1" applyFont="1" applyNumberFormat="1">
      <alignment horizontal="center" shrinkToFit="0" vertical="center" wrapText="1"/>
    </xf>
    <xf borderId="12" fillId="0" fontId="3" numFmtId="0" xfId="0" applyAlignment="1" applyBorder="1" applyFont="1">
      <alignment shrinkToFit="0" wrapText="1"/>
    </xf>
    <xf borderId="9" fillId="0" fontId="4" numFmtId="166" xfId="0" applyAlignment="1" applyBorder="1" applyFont="1" applyNumberFormat="1">
      <alignment horizontal="center" shrinkToFit="0" vertical="center" wrapText="1"/>
    </xf>
    <xf borderId="9" fillId="0" fontId="5" numFmtId="0" xfId="0" applyAlignment="1" applyBorder="1" applyFont="1">
      <alignment horizontal="center" readingOrder="0" shrinkToFit="0" vertical="center" wrapText="0"/>
    </xf>
    <xf borderId="9" fillId="0" fontId="5" numFmtId="167" xfId="0" applyAlignment="1" applyBorder="1" applyFont="1" applyNumberFormat="1">
      <alignment horizontal="center" readingOrder="0" shrinkToFit="0" vertical="center" wrapText="0"/>
    </xf>
    <xf borderId="9" fillId="0" fontId="5" numFmtId="168" xfId="0" applyAlignment="1" applyBorder="1" applyFont="1" applyNumberFormat="1">
      <alignment horizontal="center" readingOrder="0" shrinkToFit="0" vertical="center" wrapText="0"/>
    </xf>
    <xf borderId="9" fillId="0" fontId="5" numFmtId="167" xfId="0" applyAlignment="1" applyBorder="1" applyFont="1" applyNumberFormat="1">
      <alignment horizontal="center" shrinkToFit="0" vertical="center" wrapText="0"/>
    </xf>
    <xf borderId="9" fillId="0" fontId="5" numFmtId="168" xfId="0" applyAlignment="1" applyBorder="1" applyFont="1" applyNumberFormat="1">
      <alignment horizontal="center" shrinkToFit="0" vertical="center" wrapText="0"/>
    </xf>
    <xf borderId="13" fillId="0" fontId="5" numFmtId="168" xfId="0" applyAlignment="1" applyBorder="1" applyFont="1" applyNumberFormat="1">
      <alignment horizontal="center" shrinkToFit="0" vertical="center" wrapText="0"/>
    </xf>
    <xf borderId="7" fillId="0" fontId="5" numFmtId="3" xfId="0" applyAlignment="1" applyBorder="1" applyFont="1" applyNumberFormat="1">
      <alignment horizontal="center" readingOrder="0" shrinkToFit="0" vertical="center" wrapText="0"/>
    </xf>
    <xf borderId="9" fillId="0" fontId="5" numFmtId="167" xfId="0" applyAlignment="1" applyBorder="1" applyFont="1" applyNumberFormat="1">
      <alignment horizontal="center" shrinkToFit="0" vertical="top" wrapText="0"/>
    </xf>
    <xf borderId="11" fillId="0" fontId="3" numFmtId="0" xfId="0" applyAlignment="1" applyBorder="1" applyFont="1">
      <alignment shrinkToFit="0" wrapText="1"/>
    </xf>
    <xf borderId="7" fillId="0" fontId="4" numFmtId="165" xfId="0" applyAlignment="1" applyBorder="1" applyFont="1" applyNumberFormat="1">
      <alignment horizontal="center" shrinkToFit="0" vertical="center" wrapText="0"/>
    </xf>
    <xf borderId="9" fillId="0" fontId="5" numFmtId="0" xfId="0" applyAlignment="1" applyBorder="1" applyFont="1">
      <alignment horizontal="center" shrinkToFit="0" vertical="center" wrapText="0"/>
    </xf>
    <xf borderId="8" fillId="0" fontId="5" numFmtId="167" xfId="0" applyAlignment="1" applyBorder="1" applyFont="1" applyNumberFormat="1">
      <alignment horizontal="center" shrinkToFit="0" vertical="center" wrapText="0"/>
    </xf>
    <xf borderId="7" fillId="3" fontId="6" numFmtId="0" xfId="0" applyAlignment="1" applyBorder="1" applyFill="1" applyFont="1">
      <alignment horizontal="center" shrinkToFit="0" vertical="center" wrapText="0"/>
    </xf>
    <xf borderId="9" fillId="2" fontId="5" numFmtId="167" xfId="0" applyAlignment="1" applyBorder="1" applyFont="1" applyNumberFormat="1">
      <alignment horizontal="center" shrinkToFit="0" vertical="center" wrapText="0"/>
    </xf>
    <xf borderId="9" fillId="3" fontId="7" numFmtId="167" xfId="0" applyAlignment="1" applyBorder="1" applyFont="1" applyNumberFormat="1">
      <alignment horizontal="center" shrinkToFit="0" vertical="center" wrapText="0"/>
    </xf>
    <xf borderId="7" fillId="3" fontId="7" numFmtId="167" xfId="0" applyAlignment="1" applyBorder="1" applyFont="1" applyNumberFormat="1">
      <alignment horizontal="center" shrinkToFit="0" vertical="center" wrapText="0"/>
    </xf>
    <xf borderId="2" fillId="0" fontId="8" numFmtId="0" xfId="0" applyAlignment="1" applyBorder="1" applyFont="1">
      <alignment horizontal="center" shrinkToFit="0" wrapText="1"/>
    </xf>
    <xf borderId="0" fillId="0" fontId="6" numFmtId="0" xfId="0" applyAlignment="1" applyFont="1">
      <alignment horizontal="left" shrinkToFit="0" vertical="center" wrapText="0"/>
    </xf>
    <xf borderId="0" fillId="0" fontId="8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right"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1"/>
    </xf>
    <xf borderId="0" fillId="0" fontId="8" numFmtId="0" xfId="0" applyAlignment="1" applyFont="1">
      <alignment horizontal="center" shrinkToFit="0" wrapText="1"/>
    </xf>
    <xf borderId="0" fillId="0" fontId="1" numFmtId="0" xfId="0" applyAlignment="1" applyFont="1">
      <alignment shrinkToFit="0" wrapText="1"/>
    </xf>
    <xf borderId="7" fillId="0" fontId="4" numFmtId="37" xfId="0" applyAlignment="1" applyBorder="1" applyFont="1" applyNumberForma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323850</xdr:colOff>
      <xdr:row>0</xdr:row>
      <xdr:rowOff>47625</xdr:rowOff>
    </xdr:from>
    <xdr:ext cx="2181225" cy="828675"/>
    <xdr:pic>
      <xdr:nvPicPr>
        <xdr:cNvPr id="0" name="image1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323850</xdr:colOff>
      <xdr:row>0</xdr:row>
      <xdr:rowOff>47625</xdr:rowOff>
    </xdr:from>
    <xdr:ext cx="2181225" cy="828675"/>
    <xdr:pic>
      <xdr:nvPicPr>
        <xdr:cNvPr id="0" name="image1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323850</xdr:colOff>
      <xdr:row>0</xdr:row>
      <xdr:rowOff>47625</xdr:rowOff>
    </xdr:from>
    <xdr:ext cx="2181225" cy="828675"/>
    <xdr:pic>
      <xdr:nvPicPr>
        <xdr:cNvPr id="0" name="image1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323850</xdr:colOff>
      <xdr:row>0</xdr:row>
      <xdr:rowOff>47625</xdr:rowOff>
    </xdr:from>
    <xdr:ext cx="2181225" cy="828675"/>
    <xdr:pic>
      <xdr:nvPicPr>
        <xdr:cNvPr id="0" name="image1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323850</xdr:colOff>
      <xdr:row>0</xdr:row>
      <xdr:rowOff>47625</xdr:rowOff>
    </xdr:from>
    <xdr:ext cx="2181225" cy="828675"/>
    <xdr:pic>
      <xdr:nvPicPr>
        <xdr:cNvPr id="0" name="image1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323850</xdr:colOff>
      <xdr:row>0</xdr:row>
      <xdr:rowOff>47625</xdr:rowOff>
    </xdr:from>
    <xdr:ext cx="2181225" cy="828675"/>
    <xdr:pic>
      <xdr:nvPicPr>
        <xdr:cNvPr id="0" name="image1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323850</xdr:colOff>
      <xdr:row>0</xdr:row>
      <xdr:rowOff>47625</xdr:rowOff>
    </xdr:from>
    <xdr:ext cx="2181225" cy="828675"/>
    <xdr:pic>
      <xdr:nvPicPr>
        <xdr:cNvPr id="0" name="image1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323850</xdr:colOff>
      <xdr:row>0</xdr:row>
      <xdr:rowOff>47625</xdr:rowOff>
    </xdr:from>
    <xdr:ext cx="2181225" cy="828675"/>
    <xdr:pic>
      <xdr:nvPicPr>
        <xdr:cNvPr id="0" name="image1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323850</xdr:colOff>
      <xdr:row>0</xdr:row>
      <xdr:rowOff>47625</xdr:rowOff>
    </xdr:from>
    <xdr:ext cx="2181225" cy="828675"/>
    <xdr:pic>
      <xdr:nvPicPr>
        <xdr:cNvPr id="0" name="image1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323850</xdr:colOff>
      <xdr:row>0</xdr:row>
      <xdr:rowOff>47625</xdr:rowOff>
    </xdr:from>
    <xdr:ext cx="2181225" cy="828675"/>
    <xdr:pic>
      <xdr:nvPicPr>
        <xdr:cNvPr id="0" name="image1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323850</xdr:colOff>
      <xdr:row>0</xdr:row>
      <xdr:rowOff>47625</xdr:rowOff>
    </xdr:from>
    <xdr:ext cx="2181225" cy="828675"/>
    <xdr:pic>
      <xdr:nvPicPr>
        <xdr:cNvPr id="0" name="image1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323850</xdr:colOff>
      <xdr:row>0</xdr:row>
      <xdr:rowOff>47625</xdr:rowOff>
    </xdr:from>
    <xdr:ext cx="2181225" cy="828675"/>
    <xdr:pic>
      <xdr:nvPicPr>
        <xdr:cNvPr id="0" name="image1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323850</xdr:colOff>
      <xdr:row>0</xdr:row>
      <xdr:rowOff>47625</xdr:rowOff>
    </xdr:from>
    <xdr:ext cx="2181225" cy="828675"/>
    <xdr:pic>
      <xdr:nvPicPr>
        <xdr:cNvPr id="0" name="image1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323850</xdr:colOff>
      <xdr:row>0</xdr:row>
      <xdr:rowOff>47625</xdr:rowOff>
    </xdr:from>
    <xdr:ext cx="2181225" cy="828675"/>
    <xdr:pic>
      <xdr:nvPicPr>
        <xdr:cNvPr id="0" name="image1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323850</xdr:colOff>
      <xdr:row>0</xdr:row>
      <xdr:rowOff>47625</xdr:rowOff>
    </xdr:from>
    <xdr:ext cx="2181225" cy="828675"/>
    <xdr:pic>
      <xdr:nvPicPr>
        <xdr:cNvPr id="0" name="image1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323850</xdr:colOff>
      <xdr:row>0</xdr:row>
      <xdr:rowOff>47625</xdr:rowOff>
    </xdr:from>
    <xdr:ext cx="2181225" cy="828675"/>
    <xdr:pic>
      <xdr:nvPicPr>
        <xdr:cNvPr id="0" name="image1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323850</xdr:colOff>
      <xdr:row>0</xdr:row>
      <xdr:rowOff>47625</xdr:rowOff>
    </xdr:from>
    <xdr:ext cx="2181225" cy="828675"/>
    <xdr:pic>
      <xdr:nvPicPr>
        <xdr:cNvPr id="0" name="image1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323850</xdr:colOff>
      <xdr:row>0</xdr:row>
      <xdr:rowOff>47625</xdr:rowOff>
    </xdr:from>
    <xdr:ext cx="2181225" cy="828675"/>
    <xdr:pic>
      <xdr:nvPicPr>
        <xdr:cNvPr id="0" name="image1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323850</xdr:colOff>
      <xdr:row>0</xdr:row>
      <xdr:rowOff>47625</xdr:rowOff>
    </xdr:from>
    <xdr:ext cx="2181225" cy="828675"/>
    <xdr:pic>
      <xdr:nvPicPr>
        <xdr:cNvPr id="0" name="image1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323850</xdr:colOff>
      <xdr:row>0</xdr:row>
      <xdr:rowOff>47625</xdr:rowOff>
    </xdr:from>
    <xdr:ext cx="2181225" cy="828675"/>
    <xdr:pic>
      <xdr:nvPicPr>
        <xdr:cNvPr id="0" name="image1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323850</xdr:colOff>
      <xdr:row>0</xdr:row>
      <xdr:rowOff>47625</xdr:rowOff>
    </xdr:from>
    <xdr:ext cx="2181225" cy="828675"/>
    <xdr:pic>
      <xdr:nvPicPr>
        <xdr:cNvPr id="0" name="image1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323850</xdr:colOff>
      <xdr:row>0</xdr:row>
      <xdr:rowOff>47625</xdr:rowOff>
    </xdr:from>
    <xdr:ext cx="2181225" cy="828675"/>
    <xdr:pic>
      <xdr:nvPicPr>
        <xdr:cNvPr id="0" name="image1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323850</xdr:colOff>
      <xdr:row>0</xdr:row>
      <xdr:rowOff>47625</xdr:rowOff>
    </xdr:from>
    <xdr:ext cx="2181225" cy="828675"/>
    <xdr:pic>
      <xdr:nvPicPr>
        <xdr:cNvPr id="0" name="image1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323850</xdr:colOff>
      <xdr:row>0</xdr:row>
      <xdr:rowOff>47625</xdr:rowOff>
    </xdr:from>
    <xdr:ext cx="2181225" cy="828675"/>
    <xdr:pic>
      <xdr:nvPicPr>
        <xdr:cNvPr id="0" name="image1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323850</xdr:colOff>
      <xdr:row>0</xdr:row>
      <xdr:rowOff>47625</xdr:rowOff>
    </xdr:from>
    <xdr:ext cx="2181225" cy="828675"/>
    <xdr:pic>
      <xdr:nvPicPr>
        <xdr:cNvPr id="0" name="image1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7.38"/>
    <col customWidth="1" min="3" max="3" width="15.88"/>
    <col customWidth="1" min="4" max="4" width="15.25"/>
    <col customWidth="1" min="5" max="5" width="9.38"/>
    <col customWidth="1" min="6" max="6" width="14.88"/>
    <col customWidth="1" min="7" max="7" width="10.38"/>
    <col customWidth="1" min="8" max="8" width="13.38"/>
    <col customWidth="1" min="9" max="9" width="28.75"/>
    <col customWidth="1" min="10" max="10" width="11.13"/>
    <col customWidth="1" min="11" max="26" width="11.0"/>
  </cols>
  <sheetData>
    <row r="1" ht="78.0" customHeight="1">
      <c r="A1" s="1"/>
    </row>
    <row r="2" ht="24.0" customHeight="1">
      <c r="A2" s="2" t="s">
        <v>0</v>
      </c>
      <c r="B2" s="3"/>
      <c r="C2" s="3"/>
      <c r="D2" s="3"/>
      <c r="E2" s="3"/>
      <c r="F2" s="3"/>
      <c r="G2" s="3"/>
      <c r="H2" s="3"/>
      <c r="I2" s="3"/>
      <c r="J2" s="4"/>
    </row>
    <row r="3" ht="10.5" customHeight="1">
      <c r="A3" s="5"/>
      <c r="B3" s="6"/>
      <c r="C3" s="6"/>
      <c r="D3" s="6"/>
      <c r="E3" s="6"/>
      <c r="F3" s="6"/>
      <c r="G3" s="6"/>
      <c r="H3" s="6"/>
      <c r="I3" s="6"/>
      <c r="J3" s="7"/>
    </row>
    <row r="4" ht="22.5" customHeight="1">
      <c r="A4" s="8" t="s">
        <v>1</v>
      </c>
      <c r="B4" s="9"/>
      <c r="C4" s="10" t="s">
        <v>2</v>
      </c>
      <c r="D4" s="11" t="s">
        <v>3</v>
      </c>
      <c r="E4" s="8" t="s">
        <v>4</v>
      </c>
      <c r="F4" s="12"/>
      <c r="G4" s="9"/>
      <c r="H4" s="13" t="s">
        <v>5</v>
      </c>
      <c r="I4" s="14" t="s">
        <v>6</v>
      </c>
      <c r="J4" s="9"/>
    </row>
    <row r="5" ht="22.5" customHeight="1">
      <c r="A5" s="8" t="s">
        <v>7</v>
      </c>
      <c r="B5" s="9"/>
      <c r="C5" s="15" t="s">
        <v>8</v>
      </c>
      <c r="D5" s="3"/>
      <c r="E5" s="3"/>
      <c r="F5" s="3"/>
      <c r="G5" s="3"/>
      <c r="H5" s="3"/>
      <c r="I5" s="3"/>
      <c r="J5" s="4"/>
    </row>
    <row r="6" ht="22.5" customHeight="1">
      <c r="A6" s="8" t="s">
        <v>9</v>
      </c>
      <c r="B6" s="9"/>
      <c r="C6" s="16">
        <v>46028.0</v>
      </c>
      <c r="D6" s="12"/>
      <c r="E6" s="12"/>
      <c r="F6" s="11" t="s">
        <v>10</v>
      </c>
      <c r="G6" s="16">
        <v>46028.0</v>
      </c>
      <c r="H6" s="12"/>
      <c r="I6" s="12"/>
      <c r="J6" s="17" t="s">
        <v>11</v>
      </c>
    </row>
    <row r="7" ht="22.5" customHeight="1">
      <c r="A7" s="18" t="s">
        <v>12</v>
      </c>
      <c r="B7" s="4"/>
      <c r="C7" s="19" t="s">
        <v>13</v>
      </c>
      <c r="D7" s="20" t="s">
        <v>14</v>
      </c>
      <c r="E7" s="7"/>
      <c r="F7" s="21" t="s">
        <v>15</v>
      </c>
      <c r="G7" s="7"/>
      <c r="H7" s="22" t="s">
        <v>16</v>
      </c>
      <c r="I7" s="20" t="s">
        <v>17</v>
      </c>
      <c r="J7" s="7"/>
    </row>
    <row r="8" ht="22.5" customHeight="1">
      <c r="A8" s="5"/>
      <c r="B8" s="7"/>
      <c r="C8" s="23"/>
      <c r="D8" s="11" t="s">
        <v>18</v>
      </c>
      <c r="E8" s="11" t="s">
        <v>19</v>
      </c>
      <c r="F8" s="11" t="s">
        <v>20</v>
      </c>
      <c r="G8" s="24" t="s">
        <v>19</v>
      </c>
      <c r="H8" s="24" t="s">
        <v>19</v>
      </c>
      <c r="I8" s="8" t="s">
        <v>21</v>
      </c>
      <c r="J8" s="9"/>
    </row>
    <row r="9">
      <c r="A9" s="16">
        <v>46028.0</v>
      </c>
      <c r="B9" s="12"/>
      <c r="C9" s="25" t="s">
        <v>22</v>
      </c>
      <c r="D9" s="26" t="s">
        <v>23</v>
      </c>
      <c r="E9" s="27">
        <f>19.6*8</f>
        <v>156.8</v>
      </c>
      <c r="F9" s="28"/>
      <c r="G9" s="29"/>
      <c r="H9" s="30">
        <f>(G6-C6+1)*700*I15</f>
        <v>1400</v>
      </c>
      <c r="I9" s="31" t="s">
        <v>24</v>
      </c>
      <c r="J9" s="9"/>
    </row>
    <row r="10">
      <c r="A10" s="16">
        <v>46028.0</v>
      </c>
      <c r="B10" s="12"/>
      <c r="C10" s="25" t="s">
        <v>25</v>
      </c>
      <c r="D10" s="26" t="s">
        <v>23</v>
      </c>
      <c r="E10" s="27">
        <f>20.1*8</f>
        <v>160.8</v>
      </c>
      <c r="F10" s="32"/>
      <c r="G10" s="29"/>
      <c r="H10" s="33"/>
      <c r="I10" s="31" t="s">
        <v>24</v>
      </c>
      <c r="J10" s="9"/>
    </row>
    <row r="11">
      <c r="A11" s="16"/>
      <c r="B11" s="12"/>
      <c r="C11" s="25"/>
      <c r="D11" s="26"/>
      <c r="E11" s="27"/>
      <c r="F11" s="32"/>
      <c r="G11" s="29"/>
      <c r="H11" s="33"/>
      <c r="I11" s="31"/>
      <c r="J11" s="9"/>
    </row>
    <row r="12">
      <c r="A12" s="16"/>
      <c r="B12" s="12"/>
      <c r="C12" s="25"/>
      <c r="D12" s="26"/>
      <c r="E12" s="27"/>
      <c r="F12" s="32"/>
      <c r="G12" s="29"/>
      <c r="H12" s="33"/>
      <c r="I12" s="31"/>
      <c r="J12" s="9"/>
    </row>
    <row r="13" ht="20.25" customHeight="1">
      <c r="A13" s="16"/>
      <c r="B13" s="12"/>
      <c r="C13" s="25"/>
      <c r="D13" s="26"/>
      <c r="E13" s="27"/>
      <c r="F13" s="32"/>
      <c r="G13" s="29"/>
      <c r="H13" s="33"/>
      <c r="I13" s="31"/>
      <c r="J13" s="9"/>
    </row>
    <row r="14">
      <c r="A14" s="16"/>
      <c r="B14" s="12"/>
      <c r="C14" s="25"/>
      <c r="D14" s="26"/>
      <c r="E14" s="27"/>
      <c r="F14" s="32"/>
      <c r="G14" s="29"/>
      <c r="H14" s="33"/>
      <c r="I14" s="31"/>
      <c r="J14" s="9"/>
    </row>
    <row r="15" ht="20.25" customHeight="1">
      <c r="A15" s="34"/>
      <c r="B15" s="12"/>
      <c r="C15" s="35"/>
      <c r="D15" s="26"/>
      <c r="E15" s="29"/>
      <c r="F15" s="28"/>
      <c r="G15" s="29"/>
      <c r="H15" s="33"/>
      <c r="I15" s="31">
        <v>2.0</v>
      </c>
      <c r="J15" s="36" t="s">
        <v>26</v>
      </c>
    </row>
    <row r="16" ht="22.5" customHeight="1">
      <c r="A16" s="37" t="s">
        <v>27</v>
      </c>
      <c r="B16" s="12"/>
      <c r="C16" s="9"/>
      <c r="D16" s="38"/>
      <c r="E16" s="39">
        <f>SUM(E9:E15)</f>
        <v>317.6</v>
      </c>
      <c r="F16" s="38"/>
      <c r="G16" s="39">
        <f>SUM(G9:G15)</f>
        <v>0</v>
      </c>
      <c r="H16" s="39">
        <f>sum(H9:H15)</f>
        <v>1400</v>
      </c>
      <c r="I16" s="40">
        <f>SUM(E16:H16)</f>
        <v>1717.6</v>
      </c>
      <c r="J16" s="9"/>
    </row>
    <row r="17" ht="8.2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</row>
    <row r="18" ht="21.0" customHeight="1">
      <c r="A18" s="42" t="s">
        <v>28</v>
      </c>
      <c r="C18" s="43"/>
      <c r="D18" s="42" t="s">
        <v>29</v>
      </c>
      <c r="E18" s="43"/>
      <c r="F18" s="44" t="s">
        <v>30</v>
      </c>
      <c r="G18" s="43"/>
      <c r="H18" s="43"/>
      <c r="I18" s="45" t="s">
        <v>31</v>
      </c>
      <c r="J18" s="43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9.5" customHeight="1">
      <c r="A19" s="47"/>
      <c r="B19" s="47"/>
      <c r="C19" s="47"/>
      <c r="D19" s="47"/>
      <c r="E19" s="47"/>
      <c r="F19" s="47"/>
      <c r="G19" s="47"/>
      <c r="H19" s="47"/>
      <c r="I19" s="47"/>
      <c r="J19" s="47"/>
    </row>
    <row r="20" ht="12.75" customHeight="1">
      <c r="I20" s="48"/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33">
    <mergeCell ref="A1:J1"/>
    <mergeCell ref="A2:J3"/>
    <mergeCell ref="A4:B4"/>
    <mergeCell ref="E4:G4"/>
    <mergeCell ref="I4:J4"/>
    <mergeCell ref="A5:B5"/>
    <mergeCell ref="C5:J5"/>
    <mergeCell ref="A6:B6"/>
    <mergeCell ref="C6:E6"/>
    <mergeCell ref="G6:I6"/>
    <mergeCell ref="A7:B8"/>
    <mergeCell ref="C7:C8"/>
    <mergeCell ref="D7:E7"/>
    <mergeCell ref="F7:G7"/>
    <mergeCell ref="I13:J13"/>
    <mergeCell ref="I14:J14"/>
    <mergeCell ref="I7:J7"/>
    <mergeCell ref="I8:J8"/>
    <mergeCell ref="H9:H15"/>
    <mergeCell ref="I9:J9"/>
    <mergeCell ref="I10:J10"/>
    <mergeCell ref="I11:J11"/>
    <mergeCell ref="I12:J12"/>
    <mergeCell ref="I16:J16"/>
    <mergeCell ref="A16:C16"/>
    <mergeCell ref="A18:B18"/>
    <mergeCell ref="A9:B9"/>
    <mergeCell ref="A10:B10"/>
    <mergeCell ref="A11:B11"/>
    <mergeCell ref="A12:B12"/>
    <mergeCell ref="A13:B13"/>
    <mergeCell ref="A14:B14"/>
    <mergeCell ref="A15:B15"/>
  </mergeCells>
  <dataValidations>
    <dataValidation type="list" allowBlank="1" showErrorMessage="1" sqref="D9:D15">
      <formula1>"高鐵,計程車,台鐵,捷運,自行開車"</formula1>
    </dataValidation>
    <dataValidation type="list" allowBlank="1" showErrorMessage="1" sqref="E4">
      <formula1>"總公司,嶼嶼行銷,影音部"</formula1>
    </dataValidation>
    <dataValidation type="custom" allowBlank="1" showDropDown="1" showInputMessage="1" showErrorMessage="1" prompt="輸入有效日期" sqref="C6 G6 A9:A15">
      <formula1>OR(NOT(ISERROR(DATEVALUE(A6))), AND(ISNUMBER(A6), LEFT(CELL("format", A6))="D"))</formula1>
    </dataValidation>
  </dataValidations>
  <printOptions horizontalCentered="1"/>
  <pageMargins bottom="0.75" footer="0.0" header="0.0" left="0.25" right="0.25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7.38"/>
    <col customWidth="1" min="3" max="3" width="15.88"/>
    <col customWidth="1" min="4" max="4" width="15.25"/>
    <col customWidth="1" min="5" max="5" width="9.38"/>
    <col customWidth="1" min="6" max="6" width="14.88"/>
    <col customWidth="1" min="7" max="7" width="10.38"/>
    <col customWidth="1" min="8" max="8" width="13.38"/>
    <col customWidth="1" min="9" max="9" width="28.75"/>
    <col customWidth="1" min="10" max="10" width="11.13"/>
    <col customWidth="1" min="11" max="26" width="11.0"/>
  </cols>
  <sheetData>
    <row r="1" ht="78.0" customHeight="1">
      <c r="A1" s="1"/>
    </row>
    <row r="2" ht="24.0" customHeight="1">
      <c r="A2" s="2" t="s">
        <v>0</v>
      </c>
      <c r="B2" s="3"/>
      <c r="C2" s="3"/>
      <c r="D2" s="3"/>
      <c r="E2" s="3"/>
      <c r="F2" s="3"/>
      <c r="G2" s="3"/>
      <c r="H2" s="3"/>
      <c r="I2" s="3"/>
      <c r="J2" s="4"/>
    </row>
    <row r="3" ht="10.5" customHeight="1">
      <c r="A3" s="5"/>
      <c r="B3" s="6"/>
      <c r="C3" s="6"/>
      <c r="D3" s="6"/>
      <c r="E3" s="6"/>
      <c r="F3" s="6"/>
      <c r="G3" s="6"/>
      <c r="H3" s="6"/>
      <c r="I3" s="6"/>
      <c r="J3" s="7"/>
    </row>
    <row r="4" ht="22.5" customHeight="1">
      <c r="A4" s="8" t="s">
        <v>1</v>
      </c>
      <c r="B4" s="9"/>
      <c r="C4" s="10" t="s">
        <v>2</v>
      </c>
      <c r="D4" s="11" t="s">
        <v>3</v>
      </c>
      <c r="E4" s="8" t="s">
        <v>4</v>
      </c>
      <c r="F4" s="12"/>
      <c r="G4" s="9"/>
      <c r="H4" s="13" t="s">
        <v>5</v>
      </c>
      <c r="I4" s="14" t="s">
        <v>6</v>
      </c>
      <c r="J4" s="9"/>
    </row>
    <row r="5" ht="22.5" customHeight="1">
      <c r="A5" s="8" t="s">
        <v>7</v>
      </c>
      <c r="B5" s="9"/>
      <c r="C5" s="15" t="s">
        <v>32</v>
      </c>
      <c r="D5" s="3"/>
      <c r="E5" s="3"/>
      <c r="F5" s="3"/>
      <c r="G5" s="3"/>
      <c r="H5" s="3"/>
      <c r="I5" s="3"/>
      <c r="J5" s="4"/>
    </row>
    <row r="6" ht="22.5" customHeight="1">
      <c r="A6" s="8" t="s">
        <v>9</v>
      </c>
      <c r="B6" s="9"/>
      <c r="C6" s="16">
        <v>46034.0</v>
      </c>
      <c r="D6" s="12"/>
      <c r="E6" s="12"/>
      <c r="F6" s="11" t="s">
        <v>10</v>
      </c>
      <c r="G6" s="16">
        <v>46034.0</v>
      </c>
      <c r="H6" s="12"/>
      <c r="I6" s="12"/>
      <c r="J6" s="17" t="s">
        <v>11</v>
      </c>
    </row>
    <row r="7" ht="22.5" customHeight="1">
      <c r="A7" s="18" t="s">
        <v>12</v>
      </c>
      <c r="B7" s="4"/>
      <c r="C7" s="19" t="s">
        <v>13</v>
      </c>
      <c r="D7" s="20" t="s">
        <v>14</v>
      </c>
      <c r="E7" s="7"/>
      <c r="F7" s="21" t="s">
        <v>15</v>
      </c>
      <c r="G7" s="7"/>
      <c r="H7" s="22" t="s">
        <v>16</v>
      </c>
      <c r="I7" s="20" t="s">
        <v>17</v>
      </c>
      <c r="J7" s="7"/>
    </row>
    <row r="8" ht="22.5" customHeight="1">
      <c r="A8" s="5"/>
      <c r="B8" s="7"/>
      <c r="C8" s="23"/>
      <c r="D8" s="11" t="s">
        <v>18</v>
      </c>
      <c r="E8" s="11" t="s">
        <v>19</v>
      </c>
      <c r="F8" s="11" t="s">
        <v>20</v>
      </c>
      <c r="G8" s="24" t="s">
        <v>19</v>
      </c>
      <c r="H8" s="24" t="s">
        <v>19</v>
      </c>
      <c r="I8" s="8" t="s">
        <v>21</v>
      </c>
      <c r="J8" s="9"/>
    </row>
    <row r="9">
      <c r="A9" s="16">
        <v>46034.0</v>
      </c>
      <c r="B9" s="12"/>
      <c r="C9" s="25" t="s">
        <v>33</v>
      </c>
      <c r="D9" s="26" t="s">
        <v>34</v>
      </c>
      <c r="E9" s="27">
        <v>521.0</v>
      </c>
      <c r="F9" s="28"/>
      <c r="G9" s="29"/>
      <c r="H9" s="30">
        <f>(G6-C6+1)*700*I15</f>
        <v>700</v>
      </c>
      <c r="I9" s="31"/>
      <c r="J9" s="9"/>
    </row>
    <row r="10">
      <c r="A10" s="16">
        <v>46034.0</v>
      </c>
      <c r="B10" s="12"/>
      <c r="C10" s="25" t="s">
        <v>35</v>
      </c>
      <c r="D10" s="26" t="s">
        <v>34</v>
      </c>
      <c r="E10" s="27">
        <v>564.0</v>
      </c>
      <c r="F10" s="32"/>
      <c r="G10" s="29"/>
      <c r="H10" s="33"/>
      <c r="I10" s="31"/>
      <c r="J10" s="9"/>
    </row>
    <row r="11">
      <c r="A11" s="16"/>
      <c r="B11" s="12"/>
      <c r="C11" s="25"/>
      <c r="D11" s="26"/>
      <c r="E11" s="27"/>
      <c r="F11" s="32"/>
      <c r="G11" s="29"/>
      <c r="H11" s="33"/>
      <c r="I11" s="31"/>
      <c r="J11" s="9"/>
    </row>
    <row r="12">
      <c r="A12" s="16"/>
      <c r="B12" s="12"/>
      <c r="C12" s="25"/>
      <c r="D12" s="26"/>
      <c r="E12" s="27"/>
      <c r="F12" s="32"/>
      <c r="G12" s="29"/>
      <c r="H12" s="33"/>
      <c r="I12" s="31"/>
      <c r="J12" s="9"/>
    </row>
    <row r="13" ht="20.25" customHeight="1">
      <c r="A13" s="16"/>
      <c r="B13" s="12"/>
      <c r="C13" s="25"/>
      <c r="D13" s="26"/>
      <c r="E13" s="27"/>
      <c r="F13" s="32"/>
      <c r="G13" s="29"/>
      <c r="H13" s="33"/>
      <c r="I13" s="31"/>
      <c r="J13" s="9"/>
    </row>
    <row r="14">
      <c r="A14" s="16"/>
      <c r="B14" s="12"/>
      <c r="C14" s="25"/>
      <c r="D14" s="26"/>
      <c r="E14" s="27"/>
      <c r="F14" s="32"/>
      <c r="G14" s="29"/>
      <c r="H14" s="33"/>
      <c r="I14" s="31"/>
      <c r="J14" s="9"/>
    </row>
    <row r="15" ht="20.25" customHeight="1">
      <c r="A15" s="34"/>
      <c r="B15" s="12"/>
      <c r="C15" s="35"/>
      <c r="D15" s="26"/>
      <c r="E15" s="29"/>
      <c r="F15" s="28"/>
      <c r="G15" s="29"/>
      <c r="H15" s="33"/>
      <c r="I15" s="31">
        <v>1.0</v>
      </c>
      <c r="J15" s="36" t="s">
        <v>26</v>
      </c>
    </row>
    <row r="16" ht="22.5" customHeight="1">
      <c r="A16" s="37" t="s">
        <v>27</v>
      </c>
      <c r="B16" s="12"/>
      <c r="C16" s="9"/>
      <c r="D16" s="38"/>
      <c r="E16" s="39">
        <f>SUM(E9:E15)</f>
        <v>1085</v>
      </c>
      <c r="F16" s="38"/>
      <c r="G16" s="39">
        <f>SUM(G9:G15)</f>
        <v>0</v>
      </c>
      <c r="H16" s="39">
        <f>sum(H9:H15)</f>
        <v>700</v>
      </c>
      <c r="I16" s="40">
        <f>SUM(E16:H16)</f>
        <v>1785</v>
      </c>
      <c r="J16" s="9"/>
    </row>
    <row r="17" ht="8.2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</row>
    <row r="18" ht="21.0" customHeight="1">
      <c r="A18" s="42" t="s">
        <v>28</v>
      </c>
      <c r="C18" s="43"/>
      <c r="D18" s="42" t="s">
        <v>29</v>
      </c>
      <c r="E18" s="43"/>
      <c r="F18" s="44" t="s">
        <v>30</v>
      </c>
      <c r="G18" s="43"/>
      <c r="H18" s="43"/>
      <c r="I18" s="45" t="s">
        <v>31</v>
      </c>
      <c r="J18" s="43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9.5" customHeight="1">
      <c r="A19" s="47"/>
      <c r="B19" s="47"/>
      <c r="C19" s="47"/>
      <c r="D19" s="47"/>
      <c r="E19" s="47"/>
      <c r="F19" s="47"/>
      <c r="G19" s="47"/>
      <c r="H19" s="47"/>
      <c r="I19" s="47"/>
      <c r="J19" s="47"/>
    </row>
    <row r="20" ht="12.75" customHeight="1">
      <c r="I20" s="48"/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33">
    <mergeCell ref="A1:J1"/>
    <mergeCell ref="A2:J3"/>
    <mergeCell ref="A4:B4"/>
    <mergeCell ref="E4:G4"/>
    <mergeCell ref="I4:J4"/>
    <mergeCell ref="A5:B5"/>
    <mergeCell ref="C5:J5"/>
    <mergeCell ref="A6:B6"/>
    <mergeCell ref="C6:E6"/>
    <mergeCell ref="G6:I6"/>
    <mergeCell ref="A7:B8"/>
    <mergeCell ref="C7:C8"/>
    <mergeCell ref="D7:E7"/>
    <mergeCell ref="F7:G7"/>
    <mergeCell ref="I13:J13"/>
    <mergeCell ref="I14:J14"/>
    <mergeCell ref="I7:J7"/>
    <mergeCell ref="I8:J8"/>
    <mergeCell ref="H9:H15"/>
    <mergeCell ref="I9:J9"/>
    <mergeCell ref="I10:J10"/>
    <mergeCell ref="I11:J11"/>
    <mergeCell ref="I12:J12"/>
    <mergeCell ref="I16:J16"/>
    <mergeCell ref="A16:C16"/>
    <mergeCell ref="A18:B18"/>
    <mergeCell ref="A9:B9"/>
    <mergeCell ref="A10:B10"/>
    <mergeCell ref="A11:B11"/>
    <mergeCell ref="A12:B12"/>
    <mergeCell ref="A13:B13"/>
    <mergeCell ref="A14:B14"/>
    <mergeCell ref="A15:B15"/>
  </mergeCells>
  <dataValidations>
    <dataValidation type="list" allowBlank="1" showErrorMessage="1" sqref="D9:D15">
      <formula1>"高鐵,計程車,台鐵,捷運,自行開車"</formula1>
    </dataValidation>
    <dataValidation type="list" allowBlank="1" showErrorMessage="1" sqref="E4">
      <formula1>"總公司,嶼嶼行銷,影音部"</formula1>
    </dataValidation>
    <dataValidation type="custom" allowBlank="1" showDropDown="1" showInputMessage="1" showErrorMessage="1" prompt="輸入有效日期" sqref="C6 G6 A9:A15">
      <formula1>OR(NOT(ISERROR(DATEVALUE(A6))), AND(ISNUMBER(A6), LEFT(CELL("format", A6))="D"))</formula1>
    </dataValidation>
  </dataValidations>
  <printOptions horizontalCentered="1"/>
  <pageMargins bottom="0.75" footer="0.0" header="0.0" left="0.25" right="0.25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7.38"/>
    <col customWidth="1" min="3" max="3" width="15.88"/>
    <col customWidth="1" min="4" max="4" width="15.25"/>
    <col customWidth="1" min="5" max="5" width="9.38"/>
    <col customWidth="1" min="6" max="6" width="14.88"/>
    <col customWidth="1" min="7" max="7" width="10.38"/>
    <col customWidth="1" min="8" max="8" width="13.38"/>
    <col customWidth="1" min="9" max="9" width="28.75"/>
    <col customWidth="1" min="10" max="10" width="11.13"/>
    <col customWidth="1" min="11" max="26" width="11.0"/>
  </cols>
  <sheetData>
    <row r="1" ht="78.0" customHeight="1">
      <c r="A1" s="1"/>
    </row>
    <row r="2" ht="24.0" customHeight="1">
      <c r="A2" s="2" t="s">
        <v>0</v>
      </c>
      <c r="B2" s="3"/>
      <c r="C2" s="3"/>
      <c r="D2" s="3"/>
      <c r="E2" s="3"/>
      <c r="F2" s="3"/>
      <c r="G2" s="3"/>
      <c r="H2" s="3"/>
      <c r="I2" s="3"/>
      <c r="J2" s="4"/>
    </row>
    <row r="3" ht="10.5" customHeight="1">
      <c r="A3" s="5"/>
      <c r="B3" s="6"/>
      <c r="C3" s="6"/>
      <c r="D3" s="6"/>
      <c r="E3" s="6"/>
      <c r="F3" s="6"/>
      <c r="G3" s="6"/>
      <c r="H3" s="6"/>
      <c r="I3" s="6"/>
      <c r="J3" s="7"/>
    </row>
    <row r="4" ht="22.5" customHeight="1">
      <c r="A4" s="8" t="s">
        <v>1</v>
      </c>
      <c r="B4" s="9"/>
      <c r="C4" s="10" t="s">
        <v>2</v>
      </c>
      <c r="D4" s="11" t="s">
        <v>3</v>
      </c>
      <c r="E4" s="8" t="s">
        <v>4</v>
      </c>
      <c r="F4" s="12"/>
      <c r="G4" s="9"/>
      <c r="H4" s="13" t="s">
        <v>5</v>
      </c>
      <c r="I4" s="14" t="s">
        <v>6</v>
      </c>
      <c r="J4" s="9"/>
    </row>
    <row r="5" ht="22.5" customHeight="1">
      <c r="A5" s="8" t="s">
        <v>7</v>
      </c>
      <c r="B5" s="9"/>
      <c r="C5" s="15" t="s">
        <v>36</v>
      </c>
      <c r="D5" s="3"/>
      <c r="E5" s="3"/>
      <c r="F5" s="3"/>
      <c r="G5" s="3"/>
      <c r="H5" s="3"/>
      <c r="I5" s="3"/>
      <c r="J5" s="4"/>
    </row>
    <row r="6" ht="22.5" customHeight="1">
      <c r="A6" s="8" t="s">
        <v>9</v>
      </c>
      <c r="B6" s="9"/>
      <c r="C6" s="16">
        <v>46035.0</v>
      </c>
      <c r="D6" s="12"/>
      <c r="E6" s="12"/>
      <c r="F6" s="11" t="s">
        <v>10</v>
      </c>
      <c r="G6" s="16">
        <v>46035.0</v>
      </c>
      <c r="H6" s="12"/>
      <c r="I6" s="12"/>
      <c r="J6" s="17" t="s">
        <v>11</v>
      </c>
    </row>
    <row r="7" ht="22.5" customHeight="1">
      <c r="A7" s="18" t="s">
        <v>12</v>
      </c>
      <c r="B7" s="4"/>
      <c r="C7" s="19" t="s">
        <v>13</v>
      </c>
      <c r="D7" s="20" t="s">
        <v>14</v>
      </c>
      <c r="E7" s="7"/>
      <c r="F7" s="21" t="s">
        <v>15</v>
      </c>
      <c r="G7" s="7"/>
      <c r="H7" s="22" t="s">
        <v>16</v>
      </c>
      <c r="I7" s="20" t="s">
        <v>17</v>
      </c>
      <c r="J7" s="7"/>
    </row>
    <row r="8" ht="22.5" customHeight="1">
      <c r="A8" s="5"/>
      <c r="B8" s="7"/>
      <c r="C8" s="23"/>
      <c r="D8" s="11" t="s">
        <v>18</v>
      </c>
      <c r="E8" s="11" t="s">
        <v>19</v>
      </c>
      <c r="F8" s="11" t="s">
        <v>20</v>
      </c>
      <c r="G8" s="24" t="s">
        <v>19</v>
      </c>
      <c r="H8" s="24" t="s">
        <v>19</v>
      </c>
      <c r="I8" s="8" t="s">
        <v>21</v>
      </c>
      <c r="J8" s="9"/>
    </row>
    <row r="9">
      <c r="A9" s="16">
        <v>46035.0</v>
      </c>
      <c r="B9" s="12"/>
      <c r="C9" s="25" t="s">
        <v>37</v>
      </c>
      <c r="D9" s="26" t="s">
        <v>23</v>
      </c>
      <c r="E9" s="27">
        <f>168*8</f>
        <v>1344</v>
      </c>
      <c r="F9" s="28"/>
      <c r="G9" s="29"/>
      <c r="H9" s="30">
        <f>(G6-C6+1)*700*I15</f>
        <v>1400</v>
      </c>
      <c r="I9" s="31" t="s">
        <v>38</v>
      </c>
      <c r="J9" s="9"/>
    </row>
    <row r="10">
      <c r="A10" s="16">
        <v>46035.0</v>
      </c>
      <c r="B10" s="12"/>
      <c r="C10" s="25" t="s">
        <v>39</v>
      </c>
      <c r="D10" s="26" t="s">
        <v>23</v>
      </c>
      <c r="E10" s="27">
        <f>169*8</f>
        <v>1352</v>
      </c>
      <c r="F10" s="32"/>
      <c r="G10" s="29"/>
      <c r="H10" s="33"/>
      <c r="I10" s="31" t="s">
        <v>38</v>
      </c>
      <c r="J10" s="9"/>
    </row>
    <row r="11">
      <c r="A11" s="16">
        <v>46035.0</v>
      </c>
      <c r="B11" s="12"/>
      <c r="C11" s="25" t="s">
        <v>40</v>
      </c>
      <c r="D11" s="26" t="s">
        <v>23</v>
      </c>
      <c r="E11" s="27">
        <v>268.0</v>
      </c>
      <c r="F11" s="32"/>
      <c r="G11" s="29"/>
      <c r="H11" s="33"/>
      <c r="I11" s="31" t="s">
        <v>38</v>
      </c>
      <c r="J11" s="9"/>
    </row>
    <row r="12">
      <c r="A12" s="16">
        <v>46035.0</v>
      </c>
      <c r="B12" s="12"/>
      <c r="C12" s="25" t="s">
        <v>41</v>
      </c>
      <c r="D12" s="26" t="s">
        <v>23</v>
      </c>
      <c r="E12" s="27">
        <v>350.0</v>
      </c>
      <c r="F12" s="32"/>
      <c r="G12" s="29"/>
      <c r="H12" s="33"/>
      <c r="I12" s="31" t="s">
        <v>38</v>
      </c>
      <c r="J12" s="9"/>
    </row>
    <row r="13" ht="20.25" customHeight="1">
      <c r="A13" s="16"/>
      <c r="B13" s="12"/>
      <c r="C13" s="25"/>
      <c r="D13" s="26"/>
      <c r="E13" s="27"/>
      <c r="F13" s="32"/>
      <c r="G13" s="29"/>
      <c r="H13" s="33"/>
      <c r="I13" s="31"/>
      <c r="J13" s="9"/>
    </row>
    <row r="14">
      <c r="A14" s="16"/>
      <c r="B14" s="12"/>
      <c r="C14" s="25"/>
      <c r="D14" s="26"/>
      <c r="E14" s="27"/>
      <c r="F14" s="32"/>
      <c r="G14" s="29"/>
      <c r="H14" s="33"/>
      <c r="I14" s="31"/>
      <c r="J14" s="9"/>
    </row>
    <row r="15" ht="20.25" customHeight="1">
      <c r="A15" s="34"/>
      <c r="B15" s="12"/>
      <c r="C15" s="35"/>
      <c r="D15" s="26"/>
      <c r="E15" s="29"/>
      <c r="F15" s="28"/>
      <c r="G15" s="29"/>
      <c r="H15" s="33"/>
      <c r="I15" s="31">
        <v>2.0</v>
      </c>
      <c r="J15" s="36" t="s">
        <v>26</v>
      </c>
    </row>
    <row r="16" ht="22.5" customHeight="1">
      <c r="A16" s="37" t="s">
        <v>27</v>
      </c>
      <c r="B16" s="12"/>
      <c r="C16" s="9"/>
      <c r="D16" s="38"/>
      <c r="E16" s="39">
        <f>SUM(E9:E15)</f>
        <v>3314</v>
      </c>
      <c r="F16" s="38"/>
      <c r="G16" s="39">
        <f>SUM(G9:G15)</f>
        <v>0</v>
      </c>
      <c r="H16" s="39">
        <f>sum(H9:H15)</f>
        <v>1400</v>
      </c>
      <c r="I16" s="40">
        <f>SUM(E16:H16)</f>
        <v>4714</v>
      </c>
      <c r="J16" s="9"/>
    </row>
    <row r="17" ht="8.2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</row>
    <row r="18" ht="21.0" customHeight="1">
      <c r="A18" s="42" t="s">
        <v>28</v>
      </c>
      <c r="C18" s="43"/>
      <c r="D18" s="42" t="s">
        <v>29</v>
      </c>
      <c r="E18" s="43"/>
      <c r="F18" s="44" t="s">
        <v>30</v>
      </c>
      <c r="G18" s="43"/>
      <c r="H18" s="43"/>
      <c r="I18" s="45" t="s">
        <v>31</v>
      </c>
      <c r="J18" s="43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9.5" customHeight="1">
      <c r="A19" s="47"/>
      <c r="B19" s="47"/>
      <c r="C19" s="47"/>
      <c r="D19" s="47"/>
      <c r="E19" s="47"/>
      <c r="F19" s="47"/>
      <c r="G19" s="47"/>
      <c r="H19" s="47"/>
      <c r="I19" s="47"/>
      <c r="J19" s="47"/>
    </row>
    <row r="20" ht="12.75" customHeight="1">
      <c r="I20" s="48"/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33">
    <mergeCell ref="A1:J1"/>
    <mergeCell ref="A2:J3"/>
    <mergeCell ref="A4:B4"/>
    <mergeCell ref="E4:G4"/>
    <mergeCell ref="I4:J4"/>
    <mergeCell ref="A5:B5"/>
    <mergeCell ref="C5:J5"/>
    <mergeCell ref="A6:B6"/>
    <mergeCell ref="C6:E6"/>
    <mergeCell ref="G6:I6"/>
    <mergeCell ref="A7:B8"/>
    <mergeCell ref="C7:C8"/>
    <mergeCell ref="D7:E7"/>
    <mergeCell ref="F7:G7"/>
    <mergeCell ref="I13:J13"/>
    <mergeCell ref="I14:J14"/>
    <mergeCell ref="I7:J7"/>
    <mergeCell ref="I8:J8"/>
    <mergeCell ref="H9:H15"/>
    <mergeCell ref="I9:J9"/>
    <mergeCell ref="I10:J10"/>
    <mergeCell ref="I11:J11"/>
    <mergeCell ref="I12:J12"/>
    <mergeCell ref="I16:J16"/>
    <mergeCell ref="A16:C16"/>
    <mergeCell ref="A18:B18"/>
    <mergeCell ref="A9:B9"/>
    <mergeCell ref="A10:B10"/>
    <mergeCell ref="A11:B11"/>
    <mergeCell ref="A12:B12"/>
    <mergeCell ref="A13:B13"/>
    <mergeCell ref="A14:B14"/>
    <mergeCell ref="A15:B15"/>
  </mergeCells>
  <dataValidations>
    <dataValidation type="list" allowBlank="1" showErrorMessage="1" sqref="D9:D15">
      <formula1>"高鐵,計程車,台鐵,捷運,自行開車"</formula1>
    </dataValidation>
    <dataValidation type="list" allowBlank="1" showErrorMessage="1" sqref="E4">
      <formula1>"總公司,嶼嶼行銷,影音部"</formula1>
    </dataValidation>
    <dataValidation type="custom" allowBlank="1" showDropDown="1" showInputMessage="1" showErrorMessage="1" prompt="輸入有效日期" sqref="C6 G6 A9:A15">
      <formula1>OR(NOT(ISERROR(DATEVALUE(A6))), AND(ISNUMBER(A6), LEFT(CELL("format", A6))="D"))</formula1>
    </dataValidation>
  </dataValidations>
  <printOptions horizontalCentered="1"/>
  <pageMargins bottom="0.75" footer="0.0" header="0.0" left="0.25" right="0.25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7.38"/>
    <col customWidth="1" min="3" max="3" width="15.88"/>
    <col customWidth="1" min="4" max="4" width="15.25"/>
    <col customWidth="1" min="5" max="5" width="9.38"/>
    <col customWidth="1" min="6" max="6" width="14.88"/>
    <col customWidth="1" min="7" max="7" width="10.38"/>
    <col customWidth="1" min="8" max="8" width="13.38"/>
    <col customWidth="1" min="9" max="9" width="28.75"/>
    <col customWidth="1" min="10" max="10" width="11.13"/>
    <col customWidth="1" min="11" max="26" width="11.0"/>
  </cols>
  <sheetData>
    <row r="1" ht="78.0" customHeight="1">
      <c r="A1" s="1"/>
    </row>
    <row r="2" ht="24.0" customHeight="1">
      <c r="A2" s="2" t="s">
        <v>0</v>
      </c>
      <c r="B2" s="3"/>
      <c r="C2" s="3"/>
      <c r="D2" s="3"/>
      <c r="E2" s="3"/>
      <c r="F2" s="3"/>
      <c r="G2" s="3"/>
      <c r="H2" s="3"/>
      <c r="I2" s="3"/>
      <c r="J2" s="4"/>
    </row>
    <row r="3" ht="10.5" customHeight="1">
      <c r="A3" s="5"/>
      <c r="B3" s="6"/>
      <c r="C3" s="6"/>
      <c r="D3" s="6"/>
      <c r="E3" s="6"/>
      <c r="F3" s="6"/>
      <c r="G3" s="6"/>
      <c r="H3" s="6"/>
      <c r="I3" s="6"/>
      <c r="J3" s="7"/>
    </row>
    <row r="4" ht="22.5" customHeight="1">
      <c r="A4" s="8" t="s">
        <v>1</v>
      </c>
      <c r="B4" s="9"/>
      <c r="C4" s="10" t="s">
        <v>2</v>
      </c>
      <c r="D4" s="11" t="s">
        <v>3</v>
      </c>
      <c r="E4" s="8" t="s">
        <v>4</v>
      </c>
      <c r="F4" s="12"/>
      <c r="G4" s="9"/>
      <c r="H4" s="13" t="s">
        <v>5</v>
      </c>
      <c r="I4" s="14" t="s">
        <v>6</v>
      </c>
      <c r="J4" s="9"/>
    </row>
    <row r="5" ht="22.5" customHeight="1">
      <c r="A5" s="8" t="s">
        <v>7</v>
      </c>
      <c r="B5" s="9"/>
      <c r="C5" s="15" t="s">
        <v>8</v>
      </c>
      <c r="D5" s="3"/>
      <c r="E5" s="3"/>
      <c r="F5" s="3"/>
      <c r="G5" s="3"/>
      <c r="H5" s="3"/>
      <c r="I5" s="3"/>
      <c r="J5" s="4"/>
    </row>
    <row r="6" ht="22.5" customHeight="1">
      <c r="A6" s="8" t="s">
        <v>9</v>
      </c>
      <c r="B6" s="9"/>
      <c r="C6" s="16">
        <v>46044.0</v>
      </c>
      <c r="D6" s="12"/>
      <c r="E6" s="12"/>
      <c r="F6" s="11" t="s">
        <v>10</v>
      </c>
      <c r="G6" s="16">
        <v>46044.0</v>
      </c>
      <c r="H6" s="12"/>
      <c r="I6" s="12"/>
      <c r="J6" s="17" t="s">
        <v>11</v>
      </c>
    </row>
    <row r="7" ht="22.5" customHeight="1">
      <c r="A7" s="18" t="s">
        <v>12</v>
      </c>
      <c r="B7" s="4"/>
      <c r="C7" s="19" t="s">
        <v>13</v>
      </c>
      <c r="D7" s="20" t="s">
        <v>14</v>
      </c>
      <c r="E7" s="7"/>
      <c r="F7" s="21" t="s">
        <v>15</v>
      </c>
      <c r="G7" s="7"/>
      <c r="H7" s="22" t="s">
        <v>16</v>
      </c>
      <c r="I7" s="20" t="s">
        <v>17</v>
      </c>
      <c r="J7" s="7"/>
    </row>
    <row r="8" ht="22.5" customHeight="1">
      <c r="A8" s="5"/>
      <c r="B8" s="7"/>
      <c r="C8" s="23"/>
      <c r="D8" s="11" t="s">
        <v>18</v>
      </c>
      <c r="E8" s="11" t="s">
        <v>19</v>
      </c>
      <c r="F8" s="11" t="s">
        <v>20</v>
      </c>
      <c r="G8" s="24" t="s">
        <v>19</v>
      </c>
      <c r="H8" s="24" t="s">
        <v>19</v>
      </c>
      <c r="I8" s="8" t="s">
        <v>21</v>
      </c>
      <c r="J8" s="9"/>
    </row>
    <row r="9">
      <c r="A9" s="16">
        <v>46044.0</v>
      </c>
      <c r="B9" s="12"/>
      <c r="C9" s="25" t="s">
        <v>42</v>
      </c>
      <c r="D9" s="26" t="s">
        <v>34</v>
      </c>
      <c r="E9" s="27">
        <v>390.0</v>
      </c>
      <c r="F9" s="28"/>
      <c r="G9" s="29"/>
      <c r="H9" s="30">
        <f>(G6-C6+1)*700*I15</f>
        <v>1400</v>
      </c>
      <c r="I9" s="31" t="s">
        <v>43</v>
      </c>
      <c r="J9" s="9"/>
    </row>
    <row r="10">
      <c r="A10" s="16">
        <v>46044.0</v>
      </c>
      <c r="B10" s="12"/>
      <c r="C10" s="25" t="s">
        <v>44</v>
      </c>
      <c r="D10" s="26" t="s">
        <v>34</v>
      </c>
      <c r="E10" s="27">
        <v>443.0</v>
      </c>
      <c r="F10" s="32"/>
      <c r="G10" s="29"/>
      <c r="H10" s="33"/>
      <c r="I10" s="31" t="s">
        <v>43</v>
      </c>
      <c r="J10" s="9"/>
    </row>
    <row r="11">
      <c r="A11" s="16"/>
      <c r="B11" s="12"/>
      <c r="C11" s="25"/>
      <c r="D11" s="26"/>
      <c r="E11" s="27"/>
      <c r="F11" s="32"/>
      <c r="G11" s="29"/>
      <c r="H11" s="33"/>
      <c r="I11" s="31"/>
      <c r="J11" s="9"/>
    </row>
    <row r="12">
      <c r="A12" s="16"/>
      <c r="B12" s="12"/>
      <c r="C12" s="25"/>
      <c r="D12" s="26"/>
      <c r="E12" s="27"/>
      <c r="F12" s="32"/>
      <c r="G12" s="29"/>
      <c r="H12" s="33"/>
      <c r="I12" s="31"/>
      <c r="J12" s="9"/>
    </row>
    <row r="13" ht="20.25" customHeight="1">
      <c r="A13" s="16"/>
      <c r="B13" s="12"/>
      <c r="C13" s="25"/>
      <c r="D13" s="26"/>
      <c r="E13" s="27"/>
      <c r="F13" s="32"/>
      <c r="G13" s="29"/>
      <c r="H13" s="33"/>
      <c r="I13" s="31"/>
      <c r="J13" s="9"/>
    </row>
    <row r="14">
      <c r="A14" s="16"/>
      <c r="B14" s="12"/>
      <c r="C14" s="25"/>
      <c r="D14" s="26"/>
      <c r="E14" s="27"/>
      <c r="F14" s="32"/>
      <c r="G14" s="29"/>
      <c r="H14" s="33"/>
      <c r="I14" s="31"/>
      <c r="J14" s="9"/>
    </row>
    <row r="15" ht="20.25" customHeight="1">
      <c r="A15" s="34"/>
      <c r="B15" s="12"/>
      <c r="C15" s="35"/>
      <c r="D15" s="26"/>
      <c r="E15" s="29"/>
      <c r="F15" s="28"/>
      <c r="G15" s="29"/>
      <c r="H15" s="33"/>
      <c r="I15" s="31">
        <v>2.0</v>
      </c>
      <c r="J15" s="36" t="s">
        <v>26</v>
      </c>
    </row>
    <row r="16" ht="22.5" customHeight="1">
      <c r="A16" s="37" t="s">
        <v>27</v>
      </c>
      <c r="B16" s="12"/>
      <c r="C16" s="9"/>
      <c r="D16" s="38"/>
      <c r="E16" s="39">
        <f>SUM(E9:E15)</f>
        <v>833</v>
      </c>
      <c r="F16" s="38"/>
      <c r="G16" s="39">
        <f>SUM(G9:G15)</f>
        <v>0</v>
      </c>
      <c r="H16" s="39">
        <f>sum(H9:H15)</f>
        <v>1400</v>
      </c>
      <c r="I16" s="40">
        <f>SUM(E16:H16)</f>
        <v>2233</v>
      </c>
      <c r="J16" s="9"/>
    </row>
    <row r="17" ht="8.2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</row>
    <row r="18" ht="21.0" customHeight="1">
      <c r="A18" s="42" t="s">
        <v>28</v>
      </c>
      <c r="C18" s="43"/>
      <c r="D18" s="42" t="s">
        <v>29</v>
      </c>
      <c r="E18" s="43"/>
      <c r="F18" s="44" t="s">
        <v>30</v>
      </c>
      <c r="G18" s="43"/>
      <c r="H18" s="43"/>
      <c r="I18" s="45" t="s">
        <v>31</v>
      </c>
      <c r="J18" s="43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9.5" customHeight="1">
      <c r="A19" s="47"/>
      <c r="B19" s="47"/>
      <c r="C19" s="47"/>
      <c r="D19" s="47"/>
      <c r="E19" s="47"/>
      <c r="F19" s="47"/>
      <c r="G19" s="47"/>
      <c r="H19" s="47"/>
      <c r="I19" s="47"/>
      <c r="J19" s="47"/>
    </row>
    <row r="20" ht="12.75" customHeight="1">
      <c r="I20" s="48"/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33">
    <mergeCell ref="A1:J1"/>
    <mergeCell ref="A2:J3"/>
    <mergeCell ref="A4:B4"/>
    <mergeCell ref="E4:G4"/>
    <mergeCell ref="I4:J4"/>
    <mergeCell ref="A5:B5"/>
    <mergeCell ref="C5:J5"/>
    <mergeCell ref="A6:B6"/>
    <mergeCell ref="C6:E6"/>
    <mergeCell ref="G6:I6"/>
    <mergeCell ref="A7:B8"/>
    <mergeCell ref="C7:C8"/>
    <mergeCell ref="D7:E7"/>
    <mergeCell ref="F7:G7"/>
    <mergeCell ref="I13:J13"/>
    <mergeCell ref="I14:J14"/>
    <mergeCell ref="I7:J7"/>
    <mergeCell ref="I8:J8"/>
    <mergeCell ref="H9:H15"/>
    <mergeCell ref="I9:J9"/>
    <mergeCell ref="I10:J10"/>
    <mergeCell ref="I11:J11"/>
    <mergeCell ref="I12:J12"/>
    <mergeCell ref="I16:J16"/>
    <mergeCell ref="A16:C16"/>
    <mergeCell ref="A18:B18"/>
    <mergeCell ref="A9:B9"/>
    <mergeCell ref="A10:B10"/>
    <mergeCell ref="A11:B11"/>
    <mergeCell ref="A12:B12"/>
    <mergeCell ref="A13:B13"/>
    <mergeCell ref="A14:B14"/>
    <mergeCell ref="A15:B15"/>
  </mergeCells>
  <dataValidations>
    <dataValidation type="list" allowBlank="1" showErrorMessage="1" sqref="D9:D15">
      <formula1>"高鐵,計程車,台鐵,捷運,自行開車"</formula1>
    </dataValidation>
    <dataValidation type="list" allowBlank="1" showErrorMessage="1" sqref="E4">
      <formula1>"總公司,嶼嶼行銷,影音部"</formula1>
    </dataValidation>
    <dataValidation type="custom" allowBlank="1" showDropDown="1" showInputMessage="1" showErrorMessage="1" prompt="輸入有效日期" sqref="C6 G6 A9:A15">
      <formula1>OR(NOT(ISERROR(DATEVALUE(A6))), AND(ISNUMBER(A6), LEFT(CELL("format", A6))="D"))</formula1>
    </dataValidation>
  </dataValidations>
  <printOptions horizontalCentered="1"/>
  <pageMargins bottom="0.75" footer="0.0" header="0.0" left="0.25" right="0.25" top="0.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7.38"/>
    <col customWidth="1" min="3" max="3" width="15.88"/>
    <col customWidth="1" min="4" max="4" width="15.25"/>
    <col customWidth="1" min="5" max="5" width="9.38"/>
    <col customWidth="1" min="6" max="6" width="14.88"/>
    <col customWidth="1" min="7" max="7" width="10.38"/>
    <col customWidth="1" min="8" max="8" width="13.38"/>
    <col customWidth="1" min="9" max="9" width="28.75"/>
    <col customWidth="1" min="10" max="10" width="11.13"/>
    <col customWidth="1" min="11" max="26" width="11.0"/>
  </cols>
  <sheetData>
    <row r="1" ht="78.0" customHeight="1">
      <c r="A1" s="1"/>
    </row>
    <row r="2" ht="24.0" customHeight="1">
      <c r="A2" s="2" t="s">
        <v>0</v>
      </c>
      <c r="B2" s="3"/>
      <c r="C2" s="3"/>
      <c r="D2" s="3"/>
      <c r="E2" s="3"/>
      <c r="F2" s="3"/>
      <c r="G2" s="3"/>
      <c r="H2" s="3"/>
      <c r="I2" s="3"/>
      <c r="J2" s="4"/>
    </row>
    <row r="3" ht="10.5" customHeight="1">
      <c r="A3" s="5"/>
      <c r="B3" s="6"/>
      <c r="C3" s="6"/>
      <c r="D3" s="6"/>
      <c r="E3" s="6"/>
      <c r="F3" s="6"/>
      <c r="G3" s="6"/>
      <c r="H3" s="6"/>
      <c r="I3" s="6"/>
      <c r="J3" s="7"/>
    </row>
    <row r="4" ht="22.5" customHeight="1">
      <c r="A4" s="8" t="s">
        <v>1</v>
      </c>
      <c r="B4" s="9"/>
      <c r="C4" s="10" t="s">
        <v>2</v>
      </c>
      <c r="D4" s="11" t="s">
        <v>3</v>
      </c>
      <c r="E4" s="8" t="s">
        <v>4</v>
      </c>
      <c r="F4" s="12"/>
      <c r="G4" s="9"/>
      <c r="H4" s="13" t="s">
        <v>5</v>
      </c>
      <c r="I4" s="14" t="s">
        <v>6</v>
      </c>
      <c r="J4" s="9"/>
    </row>
    <row r="5" ht="22.5" customHeight="1">
      <c r="A5" s="8" t="s">
        <v>7</v>
      </c>
      <c r="B5" s="9"/>
      <c r="C5" s="15" t="s">
        <v>45</v>
      </c>
      <c r="D5" s="3"/>
      <c r="E5" s="3"/>
      <c r="F5" s="3"/>
      <c r="G5" s="3"/>
      <c r="H5" s="3"/>
      <c r="I5" s="3"/>
      <c r="J5" s="4"/>
    </row>
    <row r="6" ht="22.5" customHeight="1">
      <c r="A6" s="8" t="s">
        <v>9</v>
      </c>
      <c r="B6" s="9"/>
      <c r="C6" s="16">
        <v>46048.0</v>
      </c>
      <c r="D6" s="12"/>
      <c r="E6" s="12"/>
      <c r="F6" s="11" t="s">
        <v>10</v>
      </c>
      <c r="G6" s="16">
        <v>46048.0</v>
      </c>
      <c r="H6" s="12"/>
      <c r="I6" s="12"/>
      <c r="J6" s="17" t="s">
        <v>11</v>
      </c>
    </row>
    <row r="7" ht="22.5" customHeight="1">
      <c r="A7" s="18" t="s">
        <v>12</v>
      </c>
      <c r="B7" s="4"/>
      <c r="C7" s="19" t="s">
        <v>13</v>
      </c>
      <c r="D7" s="20" t="s">
        <v>14</v>
      </c>
      <c r="E7" s="7"/>
      <c r="F7" s="21" t="s">
        <v>15</v>
      </c>
      <c r="G7" s="7"/>
      <c r="H7" s="22" t="s">
        <v>16</v>
      </c>
      <c r="I7" s="20" t="s">
        <v>17</v>
      </c>
      <c r="J7" s="7"/>
    </row>
    <row r="8" ht="22.5" customHeight="1">
      <c r="A8" s="5"/>
      <c r="B8" s="7"/>
      <c r="C8" s="23"/>
      <c r="D8" s="11" t="s">
        <v>18</v>
      </c>
      <c r="E8" s="11" t="s">
        <v>19</v>
      </c>
      <c r="F8" s="11" t="s">
        <v>20</v>
      </c>
      <c r="G8" s="24" t="s">
        <v>19</v>
      </c>
      <c r="H8" s="24" t="s">
        <v>19</v>
      </c>
      <c r="I8" s="8" t="s">
        <v>21</v>
      </c>
      <c r="J8" s="9"/>
    </row>
    <row r="9">
      <c r="A9" s="16">
        <v>46048.0</v>
      </c>
      <c r="B9" s="12"/>
      <c r="C9" s="25" t="s">
        <v>46</v>
      </c>
      <c r="D9" s="26" t="s">
        <v>23</v>
      </c>
      <c r="E9" s="27">
        <f>222*8</f>
        <v>1776</v>
      </c>
      <c r="F9" s="28"/>
      <c r="G9" s="29"/>
      <c r="H9" s="30">
        <f>(G6-C6+1)*700*I15</f>
        <v>1400</v>
      </c>
      <c r="I9" s="31" t="s">
        <v>38</v>
      </c>
      <c r="J9" s="9"/>
    </row>
    <row r="10">
      <c r="A10" s="16">
        <v>46048.0</v>
      </c>
      <c r="B10" s="12"/>
      <c r="C10" s="25" t="s">
        <v>47</v>
      </c>
      <c r="D10" s="26" t="s">
        <v>23</v>
      </c>
      <c r="E10" s="27">
        <f>218*8</f>
        <v>1744</v>
      </c>
      <c r="F10" s="32"/>
      <c r="G10" s="29"/>
      <c r="H10" s="33"/>
      <c r="I10" s="31" t="s">
        <v>38</v>
      </c>
      <c r="J10" s="9"/>
    </row>
    <row r="11">
      <c r="A11" s="16">
        <v>46048.0</v>
      </c>
      <c r="B11" s="12"/>
      <c r="C11" s="25" t="s">
        <v>40</v>
      </c>
      <c r="D11" s="26" t="s">
        <v>23</v>
      </c>
      <c r="E11" s="27">
        <v>335.0</v>
      </c>
      <c r="F11" s="32"/>
      <c r="G11" s="29"/>
      <c r="H11" s="33"/>
      <c r="I11" s="31" t="s">
        <v>38</v>
      </c>
      <c r="J11" s="9"/>
    </row>
    <row r="12">
      <c r="A12" s="16">
        <v>46048.0</v>
      </c>
      <c r="B12" s="12"/>
      <c r="C12" s="25" t="s">
        <v>41</v>
      </c>
      <c r="D12" s="26" t="s">
        <v>23</v>
      </c>
      <c r="E12" s="27">
        <v>160.0</v>
      </c>
      <c r="F12" s="32"/>
      <c r="G12" s="29"/>
      <c r="H12" s="33"/>
      <c r="I12" s="31" t="s">
        <v>38</v>
      </c>
      <c r="J12" s="9"/>
    </row>
    <row r="13" ht="20.25" customHeight="1">
      <c r="A13" s="16"/>
      <c r="B13" s="12"/>
      <c r="C13" s="25"/>
      <c r="D13" s="26"/>
      <c r="E13" s="27"/>
      <c r="F13" s="32"/>
      <c r="G13" s="29"/>
      <c r="H13" s="33"/>
      <c r="I13" s="31"/>
      <c r="J13" s="9"/>
    </row>
    <row r="14">
      <c r="A14" s="16"/>
      <c r="B14" s="12"/>
      <c r="C14" s="25"/>
      <c r="D14" s="26"/>
      <c r="E14" s="27"/>
      <c r="F14" s="32"/>
      <c r="G14" s="29"/>
      <c r="H14" s="33"/>
      <c r="I14" s="31"/>
      <c r="J14" s="9"/>
    </row>
    <row r="15" ht="20.25" customHeight="1">
      <c r="A15" s="34"/>
      <c r="B15" s="12"/>
      <c r="C15" s="35"/>
      <c r="D15" s="26"/>
      <c r="E15" s="29"/>
      <c r="F15" s="28"/>
      <c r="G15" s="29"/>
      <c r="H15" s="33"/>
      <c r="I15" s="31">
        <v>2.0</v>
      </c>
      <c r="J15" s="36" t="s">
        <v>26</v>
      </c>
    </row>
    <row r="16" ht="22.5" customHeight="1">
      <c r="A16" s="37" t="s">
        <v>27</v>
      </c>
      <c r="B16" s="12"/>
      <c r="C16" s="9"/>
      <c r="D16" s="38"/>
      <c r="E16" s="39">
        <f>SUM(E9:E15)</f>
        <v>4015</v>
      </c>
      <c r="F16" s="38"/>
      <c r="G16" s="39">
        <f>SUM(G9:G15)</f>
        <v>0</v>
      </c>
      <c r="H16" s="39">
        <f>sum(H9:H15)</f>
        <v>1400</v>
      </c>
      <c r="I16" s="40">
        <f>SUM(E16:H16)</f>
        <v>5415</v>
      </c>
      <c r="J16" s="9"/>
    </row>
    <row r="17" ht="8.2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</row>
    <row r="18" ht="21.0" customHeight="1">
      <c r="A18" s="42" t="s">
        <v>28</v>
      </c>
      <c r="C18" s="43"/>
      <c r="D18" s="42" t="s">
        <v>29</v>
      </c>
      <c r="E18" s="43"/>
      <c r="F18" s="44" t="s">
        <v>30</v>
      </c>
      <c r="G18" s="43"/>
      <c r="H18" s="43"/>
      <c r="I18" s="45" t="s">
        <v>31</v>
      </c>
      <c r="J18" s="43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9.5" customHeight="1">
      <c r="A19" s="47"/>
      <c r="B19" s="47"/>
      <c r="C19" s="47"/>
      <c r="D19" s="47"/>
      <c r="E19" s="47"/>
      <c r="F19" s="47"/>
      <c r="G19" s="47"/>
      <c r="H19" s="47"/>
      <c r="I19" s="47"/>
      <c r="J19" s="47"/>
    </row>
    <row r="20" ht="12.75" customHeight="1">
      <c r="I20" s="48"/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33">
    <mergeCell ref="A1:J1"/>
    <mergeCell ref="A2:J3"/>
    <mergeCell ref="A4:B4"/>
    <mergeCell ref="E4:G4"/>
    <mergeCell ref="I4:J4"/>
    <mergeCell ref="A5:B5"/>
    <mergeCell ref="C5:J5"/>
    <mergeCell ref="A6:B6"/>
    <mergeCell ref="C6:E6"/>
    <mergeCell ref="G6:I6"/>
    <mergeCell ref="A7:B8"/>
    <mergeCell ref="C7:C8"/>
    <mergeCell ref="D7:E7"/>
    <mergeCell ref="F7:G7"/>
    <mergeCell ref="I13:J13"/>
    <mergeCell ref="I14:J14"/>
    <mergeCell ref="I7:J7"/>
    <mergeCell ref="I8:J8"/>
    <mergeCell ref="H9:H15"/>
    <mergeCell ref="I9:J9"/>
    <mergeCell ref="I10:J10"/>
    <mergeCell ref="I11:J11"/>
    <mergeCell ref="I12:J12"/>
    <mergeCell ref="I16:J16"/>
    <mergeCell ref="A16:C16"/>
    <mergeCell ref="A18:B18"/>
    <mergeCell ref="A9:B9"/>
    <mergeCell ref="A10:B10"/>
    <mergeCell ref="A11:B11"/>
    <mergeCell ref="A12:B12"/>
    <mergeCell ref="A13:B13"/>
    <mergeCell ref="A14:B14"/>
    <mergeCell ref="A15:B15"/>
  </mergeCells>
  <dataValidations>
    <dataValidation type="list" allowBlank="1" showErrorMessage="1" sqref="D9:D15">
      <formula1>"高鐵,計程車,台鐵,捷運,自行開車"</formula1>
    </dataValidation>
    <dataValidation type="list" allowBlank="1" showErrorMessage="1" sqref="E4">
      <formula1>"總公司,嶼嶼行銷,影音部"</formula1>
    </dataValidation>
    <dataValidation type="custom" allowBlank="1" showDropDown="1" showInputMessage="1" showErrorMessage="1" prompt="輸入有效日期" sqref="C6 G6 A9:A15">
      <formula1>OR(NOT(ISERROR(DATEVALUE(A6))), AND(ISNUMBER(A6), LEFT(CELL("format", A6))="D"))</formula1>
    </dataValidation>
  </dataValidations>
  <printOptions horizontalCentered="1"/>
  <pageMargins bottom="0.75" footer="0.0" header="0.0" left="0.25" right="0.25" top="0.75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7.38"/>
    <col customWidth="1" min="3" max="3" width="18.25"/>
    <col customWidth="1" min="4" max="4" width="15.25"/>
    <col customWidth="1" min="5" max="5" width="9.38"/>
    <col customWidth="1" min="6" max="6" width="14.88"/>
    <col customWidth="1" min="7" max="7" width="10.38"/>
    <col customWidth="1" min="8" max="8" width="13.38"/>
    <col customWidth="1" min="9" max="9" width="25.63"/>
    <col customWidth="1" min="10" max="10" width="0.38"/>
    <col customWidth="1" min="11" max="26" width="11.0"/>
  </cols>
  <sheetData>
    <row r="1" ht="78.0" customHeight="1">
      <c r="A1" s="1"/>
    </row>
    <row r="2" ht="24.0" customHeight="1">
      <c r="A2" s="2" t="s">
        <v>0</v>
      </c>
      <c r="B2" s="3"/>
      <c r="C2" s="3"/>
      <c r="D2" s="3"/>
      <c r="E2" s="3"/>
      <c r="F2" s="3"/>
      <c r="G2" s="3"/>
      <c r="H2" s="3"/>
      <c r="I2" s="3"/>
      <c r="J2" s="4"/>
    </row>
    <row r="3" ht="10.5" customHeight="1">
      <c r="A3" s="5"/>
      <c r="B3" s="6"/>
      <c r="C3" s="6"/>
      <c r="D3" s="6"/>
      <c r="E3" s="6"/>
      <c r="F3" s="6"/>
      <c r="G3" s="6"/>
      <c r="H3" s="6"/>
      <c r="I3" s="6"/>
      <c r="J3" s="7"/>
    </row>
    <row r="4" ht="22.5" customHeight="1">
      <c r="A4" s="8" t="s">
        <v>1</v>
      </c>
      <c r="B4" s="9"/>
      <c r="C4" s="10" t="s">
        <v>2</v>
      </c>
      <c r="D4" s="11" t="s">
        <v>3</v>
      </c>
      <c r="E4" s="8" t="s">
        <v>4</v>
      </c>
      <c r="F4" s="12"/>
      <c r="G4" s="9"/>
      <c r="H4" s="13" t="s">
        <v>5</v>
      </c>
      <c r="I4" s="14" t="s">
        <v>6</v>
      </c>
      <c r="J4" s="9"/>
    </row>
    <row r="5" ht="22.5" customHeight="1">
      <c r="A5" s="8" t="s">
        <v>7</v>
      </c>
      <c r="B5" s="9"/>
      <c r="C5" s="15" t="s">
        <v>48</v>
      </c>
      <c r="D5" s="3"/>
      <c r="E5" s="3"/>
      <c r="F5" s="3"/>
      <c r="G5" s="3"/>
      <c r="H5" s="3"/>
      <c r="I5" s="3"/>
      <c r="J5" s="4"/>
    </row>
    <row r="6" ht="22.5" customHeight="1">
      <c r="A6" s="8" t="s">
        <v>9</v>
      </c>
      <c r="B6" s="9"/>
      <c r="C6" s="16">
        <v>46049.0</v>
      </c>
      <c r="D6" s="12"/>
      <c r="E6" s="12"/>
      <c r="F6" s="11" t="s">
        <v>10</v>
      </c>
      <c r="G6" s="16">
        <v>46049.0</v>
      </c>
      <c r="H6" s="12"/>
      <c r="I6" s="12"/>
      <c r="J6" s="17" t="s">
        <v>11</v>
      </c>
    </row>
    <row r="7" ht="22.5" customHeight="1">
      <c r="A7" s="18" t="s">
        <v>12</v>
      </c>
      <c r="B7" s="4"/>
      <c r="C7" s="19" t="s">
        <v>13</v>
      </c>
      <c r="D7" s="20" t="s">
        <v>14</v>
      </c>
      <c r="E7" s="7"/>
      <c r="F7" s="21" t="s">
        <v>15</v>
      </c>
      <c r="G7" s="7"/>
      <c r="H7" s="22" t="s">
        <v>16</v>
      </c>
      <c r="I7" s="20" t="s">
        <v>17</v>
      </c>
      <c r="J7" s="7"/>
    </row>
    <row r="8" ht="22.5" customHeight="1">
      <c r="A8" s="5"/>
      <c r="B8" s="7"/>
      <c r="C8" s="23"/>
      <c r="D8" s="11" t="s">
        <v>18</v>
      </c>
      <c r="E8" s="11" t="s">
        <v>19</v>
      </c>
      <c r="F8" s="11" t="s">
        <v>20</v>
      </c>
      <c r="G8" s="24" t="s">
        <v>19</v>
      </c>
      <c r="H8" s="24" t="s">
        <v>19</v>
      </c>
      <c r="I8" s="8" t="s">
        <v>21</v>
      </c>
      <c r="J8" s="9"/>
    </row>
    <row r="9">
      <c r="A9" s="16">
        <v>46049.0</v>
      </c>
      <c r="B9" s="12"/>
      <c r="C9" s="25" t="s">
        <v>49</v>
      </c>
      <c r="D9" s="26" t="s">
        <v>23</v>
      </c>
      <c r="E9" s="27">
        <f>51.9*8</f>
        <v>415.2</v>
      </c>
      <c r="F9" s="28"/>
      <c r="G9" s="29"/>
      <c r="H9" s="30">
        <f>(G6-C6+1)*700*I16</f>
        <v>1400</v>
      </c>
      <c r="I9" s="31" t="s">
        <v>50</v>
      </c>
      <c r="J9" s="9"/>
    </row>
    <row r="10">
      <c r="A10" s="16">
        <v>46049.0</v>
      </c>
      <c r="B10" s="12"/>
      <c r="C10" s="25" t="s">
        <v>51</v>
      </c>
      <c r="D10" s="26" t="s">
        <v>23</v>
      </c>
      <c r="E10" s="27">
        <f>66.8*8</f>
        <v>534.4</v>
      </c>
      <c r="F10" s="32"/>
      <c r="G10" s="29"/>
      <c r="H10" s="33"/>
      <c r="I10" s="31" t="s">
        <v>50</v>
      </c>
      <c r="J10" s="9"/>
    </row>
    <row r="11">
      <c r="A11" s="16">
        <v>46049.0</v>
      </c>
      <c r="B11" s="12"/>
      <c r="C11" s="25" t="s">
        <v>52</v>
      </c>
      <c r="D11" s="26" t="s">
        <v>23</v>
      </c>
      <c r="E11" s="27">
        <f>39.1*8</f>
        <v>312.8</v>
      </c>
      <c r="F11" s="32"/>
      <c r="G11" s="29"/>
      <c r="H11" s="33"/>
      <c r="I11" s="31" t="s">
        <v>50</v>
      </c>
      <c r="J11" s="9"/>
    </row>
    <row r="12">
      <c r="A12" s="16">
        <v>46049.0</v>
      </c>
      <c r="B12" s="12"/>
      <c r="C12" s="25" t="s">
        <v>40</v>
      </c>
      <c r="D12" s="26" t="s">
        <v>23</v>
      </c>
      <c r="E12" s="27">
        <v>92.0</v>
      </c>
      <c r="F12" s="32"/>
      <c r="G12" s="29"/>
      <c r="H12" s="33"/>
      <c r="I12" s="31" t="s">
        <v>50</v>
      </c>
      <c r="J12" s="9"/>
    </row>
    <row r="13">
      <c r="A13" s="16"/>
      <c r="B13" s="12"/>
      <c r="C13" s="25"/>
      <c r="D13" s="26"/>
      <c r="E13" s="27"/>
      <c r="F13" s="32"/>
      <c r="G13" s="29"/>
      <c r="H13" s="33"/>
      <c r="I13" s="31"/>
      <c r="J13" s="9"/>
    </row>
    <row r="14" ht="20.25" customHeight="1">
      <c r="A14" s="16"/>
      <c r="B14" s="12"/>
      <c r="C14" s="25"/>
      <c r="D14" s="26"/>
      <c r="E14" s="27"/>
      <c r="F14" s="32"/>
      <c r="G14" s="29"/>
      <c r="H14" s="33"/>
      <c r="I14" s="31"/>
      <c r="J14" s="9"/>
    </row>
    <row r="15">
      <c r="A15" s="16"/>
      <c r="B15" s="12"/>
      <c r="C15" s="25"/>
      <c r="D15" s="26"/>
      <c r="E15" s="27"/>
      <c r="F15" s="32"/>
      <c r="G15" s="29"/>
      <c r="H15" s="33"/>
      <c r="I15" s="31"/>
      <c r="J15" s="9"/>
    </row>
    <row r="16" ht="20.25" customHeight="1">
      <c r="A16" s="34"/>
      <c r="B16" s="12"/>
      <c r="C16" s="35"/>
      <c r="D16" s="26"/>
      <c r="E16" s="29"/>
      <c r="F16" s="28"/>
      <c r="G16" s="29"/>
      <c r="H16" s="33"/>
      <c r="I16" s="31">
        <v>2.0</v>
      </c>
      <c r="J16" s="36" t="s">
        <v>26</v>
      </c>
    </row>
    <row r="17" ht="22.5" customHeight="1">
      <c r="A17" s="37" t="s">
        <v>27</v>
      </c>
      <c r="B17" s="12"/>
      <c r="C17" s="9"/>
      <c r="D17" s="38"/>
      <c r="E17" s="39">
        <f>SUM(E9:E16)</f>
        <v>1354.4</v>
      </c>
      <c r="F17" s="38"/>
      <c r="G17" s="39">
        <f>SUM(G9:G16)</f>
        <v>0</v>
      </c>
      <c r="H17" s="39">
        <f>sum(H9:H16)</f>
        <v>1400</v>
      </c>
      <c r="I17" s="40">
        <f>SUM(E17:H17)</f>
        <v>2754.4</v>
      </c>
      <c r="J17" s="9"/>
    </row>
    <row r="18" ht="8.25" customHeight="1">
      <c r="A18" s="41"/>
      <c r="B18" s="41"/>
      <c r="C18" s="41"/>
      <c r="D18" s="41"/>
      <c r="E18" s="41"/>
      <c r="F18" s="41"/>
      <c r="G18" s="41"/>
      <c r="H18" s="41"/>
      <c r="I18" s="41"/>
      <c r="J18" s="41"/>
    </row>
    <row r="19" ht="21.0" customHeight="1">
      <c r="A19" s="42" t="s">
        <v>28</v>
      </c>
      <c r="C19" s="43"/>
      <c r="D19" s="42" t="s">
        <v>29</v>
      </c>
      <c r="E19" s="43"/>
      <c r="F19" s="44" t="s">
        <v>30</v>
      </c>
      <c r="G19" s="43"/>
      <c r="H19" s="43"/>
      <c r="I19" s="45" t="s">
        <v>31</v>
      </c>
      <c r="J19" s="43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t="19.5" customHeight="1">
      <c r="A20" s="47"/>
      <c r="B20" s="47"/>
      <c r="C20" s="47"/>
      <c r="D20" s="47"/>
      <c r="E20" s="47"/>
      <c r="F20" s="47"/>
      <c r="G20" s="47"/>
      <c r="H20" s="47"/>
      <c r="I20" s="47"/>
      <c r="J20" s="47"/>
    </row>
    <row r="21" ht="12.75" customHeight="1">
      <c r="I21" s="48"/>
    </row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</sheetData>
  <mergeCells count="35">
    <mergeCell ref="A1:J1"/>
    <mergeCell ref="A2:J3"/>
    <mergeCell ref="A4:B4"/>
    <mergeCell ref="E4:G4"/>
    <mergeCell ref="I4:J4"/>
    <mergeCell ref="A5:B5"/>
    <mergeCell ref="C5:J5"/>
    <mergeCell ref="A6:B6"/>
    <mergeCell ref="C6:E6"/>
    <mergeCell ref="G6:I6"/>
    <mergeCell ref="A7:B8"/>
    <mergeCell ref="C7:C8"/>
    <mergeCell ref="D7:E7"/>
    <mergeCell ref="F7:G7"/>
    <mergeCell ref="I13:J13"/>
    <mergeCell ref="I14:J14"/>
    <mergeCell ref="A16:B16"/>
    <mergeCell ref="A17:C17"/>
    <mergeCell ref="A19:B19"/>
    <mergeCell ref="A9:B9"/>
    <mergeCell ref="A10:B10"/>
    <mergeCell ref="A11:B11"/>
    <mergeCell ref="A12:B12"/>
    <mergeCell ref="A13:B13"/>
    <mergeCell ref="A14:B14"/>
    <mergeCell ref="A15:B15"/>
    <mergeCell ref="I15:J15"/>
    <mergeCell ref="I17:J17"/>
    <mergeCell ref="I7:J7"/>
    <mergeCell ref="I8:J8"/>
    <mergeCell ref="H9:H16"/>
    <mergeCell ref="I9:J9"/>
    <mergeCell ref="I10:J10"/>
    <mergeCell ref="I11:J11"/>
    <mergeCell ref="I12:J12"/>
  </mergeCells>
  <dataValidations>
    <dataValidation type="list" allowBlank="1" showErrorMessage="1" sqref="D9:D16">
      <formula1>"高鐵,計程車,台鐵,捷運,自行開車"</formula1>
    </dataValidation>
    <dataValidation type="list" allowBlank="1" showErrorMessage="1" sqref="E4">
      <formula1>"總公司,嶼嶼行銷,影音部"</formula1>
    </dataValidation>
    <dataValidation type="custom" allowBlank="1" showDropDown="1" showInputMessage="1" showErrorMessage="1" prompt="輸入有效日期" sqref="C6 G6 A9:A16">
      <formula1>OR(NOT(ISERROR(DATEVALUE(A6))), AND(ISNUMBER(A6), LEFT(CELL("format", A6))="D"))</formula1>
    </dataValidation>
  </dataValidations>
  <printOptions horizontalCentered="1"/>
  <pageMargins bottom="0.75" footer="0.0" header="0.0" left="0.25" right="0.25" top="0.75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7.38"/>
    <col customWidth="1" min="3" max="3" width="15.88"/>
    <col customWidth="1" min="4" max="4" width="15.25"/>
    <col customWidth="1" min="5" max="5" width="9.38"/>
    <col customWidth="1" min="6" max="6" width="14.88"/>
    <col customWidth="1" min="7" max="7" width="10.38"/>
    <col customWidth="1" min="8" max="8" width="13.38"/>
    <col customWidth="1" min="9" max="9" width="28.75"/>
    <col customWidth="1" min="10" max="10" width="11.13"/>
    <col customWidth="1" min="11" max="26" width="11.0"/>
  </cols>
  <sheetData>
    <row r="1" ht="78.0" customHeight="1">
      <c r="A1" s="1"/>
    </row>
    <row r="2" ht="24.0" customHeight="1">
      <c r="A2" s="2" t="s">
        <v>0</v>
      </c>
      <c r="B2" s="3"/>
      <c r="C2" s="3"/>
      <c r="D2" s="3"/>
      <c r="E2" s="3"/>
      <c r="F2" s="3"/>
      <c r="G2" s="3"/>
      <c r="H2" s="3"/>
      <c r="I2" s="3"/>
      <c r="J2" s="4"/>
    </row>
    <row r="3" ht="10.5" customHeight="1">
      <c r="A3" s="5"/>
      <c r="B3" s="6"/>
      <c r="C3" s="6"/>
      <c r="D3" s="6"/>
      <c r="E3" s="6"/>
      <c r="F3" s="6"/>
      <c r="G3" s="6"/>
      <c r="H3" s="6"/>
      <c r="I3" s="6"/>
      <c r="J3" s="7"/>
    </row>
    <row r="4" ht="22.5" customHeight="1">
      <c r="A4" s="8" t="s">
        <v>1</v>
      </c>
      <c r="B4" s="9"/>
      <c r="C4" s="10" t="s">
        <v>2</v>
      </c>
      <c r="D4" s="11" t="s">
        <v>3</v>
      </c>
      <c r="E4" s="8" t="s">
        <v>4</v>
      </c>
      <c r="F4" s="12"/>
      <c r="G4" s="9"/>
      <c r="H4" s="13" t="s">
        <v>5</v>
      </c>
      <c r="I4" s="14" t="s">
        <v>6</v>
      </c>
      <c r="J4" s="9"/>
    </row>
    <row r="5" ht="22.5" customHeight="1">
      <c r="A5" s="8" t="s">
        <v>7</v>
      </c>
      <c r="B5" s="9"/>
      <c r="C5" s="15" t="s">
        <v>53</v>
      </c>
      <c r="D5" s="3"/>
      <c r="E5" s="3"/>
      <c r="F5" s="3"/>
      <c r="G5" s="3"/>
      <c r="H5" s="3"/>
      <c r="I5" s="3"/>
      <c r="J5" s="4"/>
    </row>
    <row r="6" ht="22.5" customHeight="1">
      <c r="A6" s="8" t="s">
        <v>9</v>
      </c>
      <c r="B6" s="9"/>
      <c r="C6" s="16">
        <v>46050.0</v>
      </c>
      <c r="D6" s="12"/>
      <c r="E6" s="12"/>
      <c r="F6" s="11" t="s">
        <v>10</v>
      </c>
      <c r="G6" s="16">
        <v>46050.0</v>
      </c>
      <c r="H6" s="12"/>
      <c r="I6" s="12"/>
      <c r="J6" s="17" t="s">
        <v>11</v>
      </c>
    </row>
    <row r="7" ht="22.5" customHeight="1">
      <c r="A7" s="18" t="s">
        <v>12</v>
      </c>
      <c r="B7" s="4"/>
      <c r="C7" s="19" t="s">
        <v>13</v>
      </c>
      <c r="D7" s="20" t="s">
        <v>14</v>
      </c>
      <c r="E7" s="7"/>
      <c r="F7" s="21" t="s">
        <v>15</v>
      </c>
      <c r="G7" s="7"/>
      <c r="H7" s="22" t="s">
        <v>16</v>
      </c>
      <c r="I7" s="20" t="s">
        <v>17</v>
      </c>
      <c r="J7" s="7"/>
    </row>
    <row r="8" ht="22.5" customHeight="1">
      <c r="A8" s="5"/>
      <c r="B8" s="7"/>
      <c r="C8" s="23"/>
      <c r="D8" s="11" t="s">
        <v>18</v>
      </c>
      <c r="E8" s="11" t="s">
        <v>19</v>
      </c>
      <c r="F8" s="11" t="s">
        <v>20</v>
      </c>
      <c r="G8" s="24" t="s">
        <v>19</v>
      </c>
      <c r="H8" s="24" t="s">
        <v>19</v>
      </c>
      <c r="I8" s="8" t="s">
        <v>21</v>
      </c>
      <c r="J8" s="9"/>
    </row>
    <row r="9">
      <c r="A9" s="16">
        <v>46048.0</v>
      </c>
      <c r="B9" s="12"/>
      <c r="C9" s="25" t="s">
        <v>54</v>
      </c>
      <c r="D9" s="26" t="s">
        <v>55</v>
      </c>
      <c r="E9" s="27">
        <v>50.0</v>
      </c>
      <c r="F9" s="28"/>
      <c r="G9" s="29"/>
      <c r="H9" s="30">
        <f>(G6-C6+1)*700*I15</f>
        <v>700</v>
      </c>
      <c r="I9" s="31"/>
      <c r="J9" s="9"/>
    </row>
    <row r="10">
      <c r="A10" s="16"/>
      <c r="B10" s="12"/>
      <c r="C10" s="25"/>
      <c r="D10" s="26"/>
      <c r="E10" s="27"/>
      <c r="F10" s="32"/>
      <c r="G10" s="29"/>
      <c r="H10" s="33"/>
      <c r="I10" s="31"/>
      <c r="J10" s="9"/>
    </row>
    <row r="11">
      <c r="A11" s="16"/>
      <c r="B11" s="12"/>
      <c r="C11" s="25"/>
      <c r="D11" s="26"/>
      <c r="E11" s="27"/>
      <c r="F11" s="32"/>
      <c r="G11" s="29"/>
      <c r="H11" s="33"/>
      <c r="I11" s="31"/>
      <c r="J11" s="9"/>
    </row>
    <row r="12">
      <c r="A12" s="16"/>
      <c r="B12" s="12"/>
      <c r="C12" s="25"/>
      <c r="D12" s="26"/>
      <c r="E12" s="27"/>
      <c r="F12" s="32"/>
      <c r="G12" s="29"/>
      <c r="H12" s="33"/>
      <c r="I12" s="31"/>
      <c r="J12" s="9"/>
    </row>
    <row r="13" ht="20.25" customHeight="1">
      <c r="A13" s="16"/>
      <c r="B13" s="12"/>
      <c r="C13" s="25"/>
      <c r="D13" s="26"/>
      <c r="E13" s="27"/>
      <c r="F13" s="32"/>
      <c r="G13" s="29"/>
      <c r="H13" s="33"/>
      <c r="I13" s="31"/>
      <c r="J13" s="9"/>
    </row>
    <row r="14">
      <c r="A14" s="16"/>
      <c r="B14" s="12"/>
      <c r="C14" s="25"/>
      <c r="D14" s="26"/>
      <c r="E14" s="27"/>
      <c r="F14" s="32"/>
      <c r="G14" s="29"/>
      <c r="H14" s="33"/>
      <c r="I14" s="31"/>
      <c r="J14" s="9"/>
    </row>
    <row r="15" ht="20.25" customHeight="1">
      <c r="A15" s="34"/>
      <c r="B15" s="12"/>
      <c r="C15" s="35"/>
      <c r="D15" s="26"/>
      <c r="E15" s="29"/>
      <c r="F15" s="28"/>
      <c r="G15" s="29"/>
      <c r="H15" s="33"/>
      <c r="I15" s="31">
        <v>1.0</v>
      </c>
      <c r="J15" s="36" t="s">
        <v>26</v>
      </c>
    </row>
    <row r="16" ht="22.5" customHeight="1">
      <c r="A16" s="37" t="s">
        <v>27</v>
      </c>
      <c r="B16" s="12"/>
      <c r="C16" s="9"/>
      <c r="D16" s="38"/>
      <c r="E16" s="39">
        <f>SUM(E9:E15)</f>
        <v>50</v>
      </c>
      <c r="F16" s="38"/>
      <c r="G16" s="39">
        <f>SUM(G9:G15)</f>
        <v>0</v>
      </c>
      <c r="H16" s="39">
        <f>sum(H9:H15)</f>
        <v>700</v>
      </c>
      <c r="I16" s="40">
        <f>SUM(E16:H16)</f>
        <v>750</v>
      </c>
      <c r="J16" s="9"/>
    </row>
    <row r="17" ht="8.2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</row>
    <row r="18" ht="21.0" customHeight="1">
      <c r="A18" s="42" t="s">
        <v>28</v>
      </c>
      <c r="C18" s="43"/>
      <c r="D18" s="42" t="s">
        <v>29</v>
      </c>
      <c r="E18" s="43"/>
      <c r="F18" s="44" t="s">
        <v>30</v>
      </c>
      <c r="G18" s="43"/>
      <c r="H18" s="43"/>
      <c r="I18" s="45" t="s">
        <v>31</v>
      </c>
      <c r="J18" s="43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9.5" customHeight="1">
      <c r="A19" s="47"/>
      <c r="B19" s="47"/>
      <c r="C19" s="47"/>
      <c r="D19" s="47"/>
      <c r="E19" s="47"/>
      <c r="F19" s="47"/>
      <c r="G19" s="47"/>
      <c r="H19" s="47"/>
      <c r="I19" s="47"/>
      <c r="J19" s="47"/>
    </row>
    <row r="20" ht="12.75" customHeight="1">
      <c r="I20" s="48"/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33">
    <mergeCell ref="A1:J1"/>
    <mergeCell ref="A2:J3"/>
    <mergeCell ref="A4:B4"/>
    <mergeCell ref="E4:G4"/>
    <mergeCell ref="I4:J4"/>
    <mergeCell ref="A5:B5"/>
    <mergeCell ref="C5:J5"/>
    <mergeCell ref="A6:B6"/>
    <mergeCell ref="C6:E6"/>
    <mergeCell ref="G6:I6"/>
    <mergeCell ref="A7:B8"/>
    <mergeCell ref="C7:C8"/>
    <mergeCell ref="D7:E7"/>
    <mergeCell ref="F7:G7"/>
    <mergeCell ref="I13:J13"/>
    <mergeCell ref="I14:J14"/>
    <mergeCell ref="I7:J7"/>
    <mergeCell ref="I8:J8"/>
    <mergeCell ref="H9:H15"/>
    <mergeCell ref="I9:J9"/>
    <mergeCell ref="I10:J10"/>
    <mergeCell ref="I11:J11"/>
    <mergeCell ref="I12:J12"/>
    <mergeCell ref="I16:J16"/>
    <mergeCell ref="A16:C16"/>
    <mergeCell ref="A18:B18"/>
    <mergeCell ref="A9:B9"/>
    <mergeCell ref="A10:B10"/>
    <mergeCell ref="A11:B11"/>
    <mergeCell ref="A12:B12"/>
    <mergeCell ref="A13:B13"/>
    <mergeCell ref="A14:B14"/>
    <mergeCell ref="A15:B15"/>
  </mergeCells>
  <dataValidations>
    <dataValidation type="list" allowBlank="1" showErrorMessage="1" sqref="D9:D15">
      <formula1>"高鐵,計程車,台鐵,捷運,自行開車"</formula1>
    </dataValidation>
    <dataValidation type="list" allowBlank="1" showErrorMessage="1" sqref="E4">
      <formula1>"總公司,嶼嶼行銷,影音部"</formula1>
    </dataValidation>
    <dataValidation type="custom" allowBlank="1" showDropDown="1" showInputMessage="1" showErrorMessage="1" prompt="輸入有效日期" sqref="C6 G6 A9:A15">
      <formula1>OR(NOT(ISERROR(DATEVALUE(A6))), AND(ISNUMBER(A6), LEFT(CELL("format", A6))="D"))</formula1>
    </dataValidation>
  </dataValidations>
  <printOptions horizontalCentered="1"/>
  <pageMargins bottom="0.75" footer="0.0" header="0.0" left="0.25" right="0.25" top="0.75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7.38"/>
    <col customWidth="1" min="3" max="3" width="15.88"/>
    <col customWidth="1" min="4" max="4" width="15.25"/>
    <col customWidth="1" min="5" max="5" width="9.38"/>
    <col customWidth="1" min="6" max="6" width="14.88"/>
    <col customWidth="1" min="7" max="7" width="10.38"/>
    <col customWidth="1" min="8" max="8" width="13.38"/>
    <col customWidth="1" min="9" max="9" width="28.75"/>
    <col customWidth="1" min="10" max="10" width="11.13"/>
    <col customWidth="1" min="11" max="26" width="11.0"/>
  </cols>
  <sheetData>
    <row r="1" ht="78.0" customHeight="1">
      <c r="A1" s="1"/>
    </row>
    <row r="2" ht="24.0" customHeight="1">
      <c r="A2" s="2" t="s">
        <v>0</v>
      </c>
      <c r="B2" s="3"/>
      <c r="C2" s="3"/>
      <c r="D2" s="3"/>
      <c r="E2" s="3"/>
      <c r="F2" s="3"/>
      <c r="G2" s="3"/>
      <c r="H2" s="3"/>
      <c r="I2" s="3"/>
      <c r="J2" s="4"/>
    </row>
    <row r="3" ht="10.5" customHeight="1">
      <c r="A3" s="5"/>
      <c r="B3" s="6"/>
      <c r="C3" s="6"/>
      <c r="D3" s="6"/>
      <c r="E3" s="6"/>
      <c r="F3" s="6"/>
      <c r="G3" s="6"/>
      <c r="H3" s="6"/>
      <c r="I3" s="6"/>
      <c r="J3" s="7"/>
    </row>
    <row r="4" ht="22.5" customHeight="1">
      <c r="A4" s="8" t="s">
        <v>1</v>
      </c>
      <c r="B4" s="9"/>
      <c r="C4" s="10" t="s">
        <v>2</v>
      </c>
      <c r="D4" s="11" t="s">
        <v>3</v>
      </c>
      <c r="E4" s="8" t="s">
        <v>4</v>
      </c>
      <c r="F4" s="12"/>
      <c r="G4" s="9"/>
      <c r="H4" s="13" t="s">
        <v>5</v>
      </c>
      <c r="I4" s="14" t="s">
        <v>6</v>
      </c>
      <c r="J4" s="9"/>
    </row>
    <row r="5" ht="22.5" customHeight="1">
      <c r="A5" s="8" t="s">
        <v>7</v>
      </c>
      <c r="B5" s="9"/>
      <c r="C5" s="15" t="s">
        <v>45</v>
      </c>
      <c r="D5" s="3"/>
      <c r="E5" s="3"/>
      <c r="F5" s="3"/>
      <c r="G5" s="3"/>
      <c r="H5" s="3"/>
      <c r="I5" s="3"/>
      <c r="J5" s="4"/>
    </row>
    <row r="6" ht="22.5" customHeight="1">
      <c r="A6" s="8" t="s">
        <v>9</v>
      </c>
      <c r="B6" s="9"/>
      <c r="C6" s="16">
        <v>46055.0</v>
      </c>
      <c r="D6" s="12"/>
      <c r="E6" s="12"/>
      <c r="F6" s="11" t="s">
        <v>10</v>
      </c>
      <c r="G6" s="16">
        <v>46055.0</v>
      </c>
      <c r="H6" s="12"/>
      <c r="I6" s="12"/>
      <c r="J6" s="17" t="s">
        <v>11</v>
      </c>
    </row>
    <row r="7" ht="22.5" customHeight="1">
      <c r="A7" s="18" t="s">
        <v>12</v>
      </c>
      <c r="B7" s="4"/>
      <c r="C7" s="19" t="s">
        <v>13</v>
      </c>
      <c r="D7" s="20" t="s">
        <v>14</v>
      </c>
      <c r="E7" s="7"/>
      <c r="F7" s="21" t="s">
        <v>15</v>
      </c>
      <c r="G7" s="7"/>
      <c r="H7" s="22" t="s">
        <v>16</v>
      </c>
      <c r="I7" s="20" t="s">
        <v>17</v>
      </c>
      <c r="J7" s="7"/>
    </row>
    <row r="8" ht="22.5" customHeight="1">
      <c r="A8" s="5"/>
      <c r="B8" s="7"/>
      <c r="C8" s="23"/>
      <c r="D8" s="11" t="s">
        <v>18</v>
      </c>
      <c r="E8" s="11" t="s">
        <v>19</v>
      </c>
      <c r="F8" s="11" t="s">
        <v>20</v>
      </c>
      <c r="G8" s="24" t="s">
        <v>19</v>
      </c>
      <c r="H8" s="24" t="s">
        <v>19</v>
      </c>
      <c r="I8" s="8" t="s">
        <v>21</v>
      </c>
      <c r="J8" s="9"/>
    </row>
    <row r="9">
      <c r="A9" s="16">
        <v>46055.0</v>
      </c>
      <c r="B9" s="12"/>
      <c r="C9" s="25" t="s">
        <v>56</v>
      </c>
      <c r="D9" s="26" t="s">
        <v>57</v>
      </c>
      <c r="E9" s="27">
        <f>790*2</f>
        <v>1580</v>
      </c>
      <c r="F9" s="28"/>
      <c r="G9" s="29"/>
      <c r="H9" s="30">
        <f>(G6-C6+1)*700*I15</f>
        <v>1400</v>
      </c>
      <c r="I9" s="31" t="s">
        <v>50</v>
      </c>
      <c r="J9" s="9"/>
    </row>
    <row r="10">
      <c r="A10" s="16">
        <v>46055.0</v>
      </c>
      <c r="B10" s="12"/>
      <c r="C10" s="25" t="s">
        <v>58</v>
      </c>
      <c r="D10" s="26" t="s">
        <v>57</v>
      </c>
      <c r="E10" s="27">
        <v>1580.0</v>
      </c>
      <c r="F10" s="32"/>
      <c r="G10" s="29"/>
      <c r="H10" s="33"/>
      <c r="I10" s="31" t="s">
        <v>50</v>
      </c>
      <c r="J10" s="9"/>
    </row>
    <row r="11">
      <c r="A11" s="16">
        <v>46055.0</v>
      </c>
      <c r="B11" s="12"/>
      <c r="C11" s="25" t="s">
        <v>59</v>
      </c>
      <c r="D11" s="26" t="s">
        <v>34</v>
      </c>
      <c r="E11" s="27">
        <v>231.0</v>
      </c>
      <c r="F11" s="32"/>
      <c r="G11" s="29"/>
      <c r="H11" s="33"/>
      <c r="I11" s="31" t="s">
        <v>50</v>
      </c>
      <c r="J11" s="9"/>
    </row>
    <row r="12">
      <c r="A12" s="16">
        <v>46055.0</v>
      </c>
      <c r="B12" s="12"/>
      <c r="C12" s="25" t="s">
        <v>60</v>
      </c>
      <c r="D12" s="26" t="s">
        <v>34</v>
      </c>
      <c r="E12" s="27">
        <v>228.0</v>
      </c>
      <c r="F12" s="32"/>
      <c r="G12" s="29"/>
      <c r="H12" s="33"/>
      <c r="I12" s="31" t="s">
        <v>50</v>
      </c>
      <c r="J12" s="9"/>
    </row>
    <row r="13">
      <c r="A13" s="16">
        <v>46055.0</v>
      </c>
      <c r="B13" s="12"/>
      <c r="C13" s="25" t="s">
        <v>61</v>
      </c>
      <c r="D13" s="26" t="s">
        <v>34</v>
      </c>
      <c r="E13" s="27">
        <v>535.0</v>
      </c>
      <c r="F13" s="32"/>
      <c r="G13" s="29"/>
      <c r="H13" s="33"/>
      <c r="I13" s="31"/>
      <c r="J13" s="9"/>
    </row>
    <row r="14">
      <c r="A14" s="16">
        <v>46055.0</v>
      </c>
      <c r="B14" s="12"/>
      <c r="C14" s="25" t="s">
        <v>62</v>
      </c>
      <c r="D14" s="26" t="s">
        <v>55</v>
      </c>
      <c r="E14" s="27">
        <v>45.0</v>
      </c>
      <c r="F14" s="32"/>
      <c r="G14" s="29"/>
      <c r="H14" s="33"/>
      <c r="I14" s="31"/>
      <c r="J14" s="9"/>
    </row>
    <row r="15" ht="20.25" customHeight="1">
      <c r="A15" s="34"/>
      <c r="B15" s="12"/>
      <c r="C15" s="35"/>
      <c r="D15" s="26"/>
      <c r="E15" s="29"/>
      <c r="F15" s="28"/>
      <c r="G15" s="29"/>
      <c r="H15" s="33"/>
      <c r="I15" s="31">
        <v>2.0</v>
      </c>
      <c r="J15" s="36" t="s">
        <v>26</v>
      </c>
    </row>
    <row r="16" ht="22.5" customHeight="1">
      <c r="A16" s="37" t="s">
        <v>27</v>
      </c>
      <c r="B16" s="12"/>
      <c r="C16" s="9"/>
      <c r="D16" s="38"/>
      <c r="E16" s="39">
        <f>SUM(E9:E15)</f>
        <v>4199</v>
      </c>
      <c r="F16" s="38"/>
      <c r="G16" s="39">
        <f>SUM(G9:G15)</f>
        <v>0</v>
      </c>
      <c r="H16" s="39">
        <f>sum(H9:H15)</f>
        <v>1400</v>
      </c>
      <c r="I16" s="40">
        <f>SUM(E16:H16)</f>
        <v>5599</v>
      </c>
      <c r="J16" s="9"/>
    </row>
    <row r="17" ht="8.2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</row>
    <row r="18" ht="21.0" customHeight="1">
      <c r="A18" s="42" t="s">
        <v>28</v>
      </c>
      <c r="C18" s="43"/>
      <c r="D18" s="42" t="s">
        <v>29</v>
      </c>
      <c r="E18" s="43"/>
      <c r="F18" s="44" t="s">
        <v>30</v>
      </c>
      <c r="G18" s="43"/>
      <c r="H18" s="43"/>
      <c r="I18" s="45" t="s">
        <v>31</v>
      </c>
      <c r="J18" s="43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9.5" customHeight="1">
      <c r="A19" s="47"/>
      <c r="B19" s="47"/>
      <c r="C19" s="47"/>
      <c r="D19" s="47"/>
      <c r="E19" s="47"/>
      <c r="F19" s="47"/>
      <c r="G19" s="47"/>
      <c r="H19" s="47"/>
      <c r="I19" s="47"/>
      <c r="J19" s="47"/>
    </row>
    <row r="20" ht="12.75" customHeight="1">
      <c r="I20" s="48"/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33">
    <mergeCell ref="A1:J1"/>
    <mergeCell ref="A2:J3"/>
    <mergeCell ref="A4:B4"/>
    <mergeCell ref="E4:G4"/>
    <mergeCell ref="I4:J4"/>
    <mergeCell ref="A5:B5"/>
    <mergeCell ref="C5:J5"/>
    <mergeCell ref="A6:B6"/>
    <mergeCell ref="C6:E6"/>
    <mergeCell ref="G6:I6"/>
    <mergeCell ref="A7:B8"/>
    <mergeCell ref="C7:C8"/>
    <mergeCell ref="D7:E7"/>
    <mergeCell ref="F7:G7"/>
    <mergeCell ref="I13:J13"/>
    <mergeCell ref="I14:J14"/>
    <mergeCell ref="I7:J7"/>
    <mergeCell ref="I8:J8"/>
    <mergeCell ref="H9:H15"/>
    <mergeCell ref="I9:J9"/>
    <mergeCell ref="I10:J10"/>
    <mergeCell ref="I11:J11"/>
    <mergeCell ref="I12:J12"/>
    <mergeCell ref="I16:J16"/>
    <mergeCell ref="A16:C16"/>
    <mergeCell ref="A18:B18"/>
    <mergeCell ref="A9:B9"/>
    <mergeCell ref="A10:B10"/>
    <mergeCell ref="A11:B11"/>
    <mergeCell ref="A12:B12"/>
    <mergeCell ref="A13:B13"/>
    <mergeCell ref="A14:B14"/>
    <mergeCell ref="A15:B15"/>
  </mergeCells>
  <dataValidations>
    <dataValidation type="list" allowBlank="1" showErrorMessage="1" sqref="D9:D15">
      <formula1>"高鐵,計程車,台鐵,捷運,自行開車"</formula1>
    </dataValidation>
    <dataValidation type="list" allowBlank="1" showErrorMessage="1" sqref="E4">
      <formula1>"總公司,嶼嶼行銷,影音部"</formula1>
    </dataValidation>
    <dataValidation type="custom" allowBlank="1" showDropDown="1" showInputMessage="1" showErrorMessage="1" prompt="輸入有效日期" sqref="C6 G6 A9:A15">
      <formula1>OR(NOT(ISERROR(DATEVALUE(A6))), AND(ISNUMBER(A6), LEFT(CELL("format", A6))="D"))</formula1>
    </dataValidation>
  </dataValidations>
  <printOptions horizontalCentered="1"/>
  <pageMargins bottom="0.75" footer="0.0" header="0.0" left="0.25" right="0.25" top="0.75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7.38"/>
    <col customWidth="1" min="3" max="3" width="15.88"/>
    <col customWidth="1" min="4" max="4" width="15.25"/>
    <col customWidth="1" min="5" max="5" width="9.38"/>
    <col customWidth="1" min="6" max="6" width="14.88"/>
    <col customWidth="1" min="7" max="7" width="10.38"/>
    <col customWidth="1" min="8" max="8" width="13.38"/>
    <col customWidth="1" min="9" max="9" width="28.75"/>
    <col customWidth="1" min="10" max="10" width="11.13"/>
    <col customWidth="1" min="11" max="26" width="11.0"/>
  </cols>
  <sheetData>
    <row r="1" ht="78.0" customHeight="1">
      <c r="A1" s="1"/>
    </row>
    <row r="2" ht="24.0" customHeight="1">
      <c r="A2" s="2" t="s">
        <v>0</v>
      </c>
      <c r="B2" s="3"/>
      <c r="C2" s="3"/>
      <c r="D2" s="3"/>
      <c r="E2" s="3"/>
      <c r="F2" s="3"/>
      <c r="G2" s="3"/>
      <c r="H2" s="3"/>
      <c r="I2" s="3"/>
      <c r="J2" s="4"/>
    </row>
    <row r="3" ht="10.5" customHeight="1">
      <c r="A3" s="5"/>
      <c r="B3" s="6"/>
      <c r="C3" s="6"/>
      <c r="D3" s="6"/>
      <c r="E3" s="6"/>
      <c r="F3" s="6"/>
      <c r="G3" s="6"/>
      <c r="H3" s="6"/>
      <c r="I3" s="6"/>
      <c r="J3" s="7"/>
    </row>
    <row r="4" ht="22.5" customHeight="1">
      <c r="A4" s="8" t="s">
        <v>1</v>
      </c>
      <c r="B4" s="9"/>
      <c r="C4" s="10" t="s">
        <v>2</v>
      </c>
      <c r="D4" s="11" t="s">
        <v>3</v>
      </c>
      <c r="E4" s="8" t="s">
        <v>4</v>
      </c>
      <c r="F4" s="12"/>
      <c r="G4" s="9"/>
      <c r="H4" s="13" t="s">
        <v>5</v>
      </c>
      <c r="I4" s="14" t="s">
        <v>6</v>
      </c>
      <c r="J4" s="9"/>
    </row>
    <row r="5" ht="22.5" customHeight="1">
      <c r="A5" s="8" t="s">
        <v>7</v>
      </c>
      <c r="B5" s="9"/>
      <c r="C5" s="15" t="s">
        <v>63</v>
      </c>
      <c r="D5" s="3"/>
      <c r="E5" s="3"/>
      <c r="F5" s="3"/>
      <c r="G5" s="3"/>
      <c r="H5" s="3"/>
      <c r="I5" s="3"/>
      <c r="J5" s="4"/>
    </row>
    <row r="6" ht="22.5" customHeight="1">
      <c r="A6" s="8" t="s">
        <v>9</v>
      </c>
      <c r="B6" s="9"/>
      <c r="C6" s="16">
        <v>46057.0</v>
      </c>
      <c r="D6" s="12"/>
      <c r="E6" s="12"/>
      <c r="F6" s="11" t="s">
        <v>10</v>
      </c>
      <c r="G6" s="16">
        <v>46057.0</v>
      </c>
      <c r="H6" s="12"/>
      <c r="I6" s="12"/>
      <c r="J6" s="17" t="s">
        <v>11</v>
      </c>
    </row>
    <row r="7" ht="22.5" customHeight="1">
      <c r="A7" s="18" t="s">
        <v>12</v>
      </c>
      <c r="B7" s="4"/>
      <c r="C7" s="19" t="s">
        <v>13</v>
      </c>
      <c r="D7" s="20" t="s">
        <v>14</v>
      </c>
      <c r="E7" s="7"/>
      <c r="F7" s="21" t="s">
        <v>15</v>
      </c>
      <c r="G7" s="7"/>
      <c r="H7" s="22" t="s">
        <v>16</v>
      </c>
      <c r="I7" s="20" t="s">
        <v>17</v>
      </c>
      <c r="J7" s="7"/>
    </row>
    <row r="8" ht="22.5" customHeight="1">
      <c r="A8" s="5"/>
      <c r="B8" s="7"/>
      <c r="C8" s="23"/>
      <c r="D8" s="11" t="s">
        <v>18</v>
      </c>
      <c r="E8" s="11" t="s">
        <v>19</v>
      </c>
      <c r="F8" s="11" t="s">
        <v>20</v>
      </c>
      <c r="G8" s="24" t="s">
        <v>19</v>
      </c>
      <c r="H8" s="24" t="s">
        <v>19</v>
      </c>
      <c r="I8" s="8" t="s">
        <v>21</v>
      </c>
      <c r="J8" s="9"/>
    </row>
    <row r="9">
      <c r="A9" s="16">
        <v>46057.0</v>
      </c>
      <c r="B9" s="12"/>
      <c r="C9" s="25" t="s">
        <v>64</v>
      </c>
      <c r="D9" s="26" t="s">
        <v>23</v>
      </c>
      <c r="E9" s="27">
        <f>87.2*8</f>
        <v>697.6</v>
      </c>
      <c r="F9" s="28"/>
      <c r="G9" s="29"/>
      <c r="H9" s="30">
        <f>(G6-C6+1)*700*I15</f>
        <v>1400</v>
      </c>
      <c r="I9" s="31" t="s">
        <v>65</v>
      </c>
      <c r="J9" s="9"/>
    </row>
    <row r="10">
      <c r="A10" s="16">
        <v>46057.0</v>
      </c>
      <c r="B10" s="12"/>
      <c r="C10" s="25" t="s">
        <v>66</v>
      </c>
      <c r="D10" s="26" t="s">
        <v>23</v>
      </c>
      <c r="E10" s="27">
        <f>86.3*8</f>
        <v>690.4</v>
      </c>
      <c r="F10" s="32"/>
      <c r="G10" s="29"/>
      <c r="H10" s="33"/>
      <c r="I10" s="31" t="s">
        <v>65</v>
      </c>
      <c r="J10" s="9"/>
    </row>
    <row r="11">
      <c r="A11" s="16">
        <v>46057.0</v>
      </c>
      <c r="B11" s="12"/>
      <c r="C11" s="25" t="s">
        <v>41</v>
      </c>
      <c r="D11" s="26" t="s">
        <v>23</v>
      </c>
      <c r="E11" s="27">
        <v>140.0</v>
      </c>
      <c r="F11" s="32"/>
      <c r="G11" s="29"/>
      <c r="H11" s="33"/>
      <c r="I11" s="31" t="s">
        <v>65</v>
      </c>
      <c r="J11" s="9"/>
    </row>
    <row r="12">
      <c r="A12" s="16">
        <v>46057.0</v>
      </c>
      <c r="B12" s="12"/>
      <c r="C12" s="25" t="s">
        <v>40</v>
      </c>
      <c r="D12" s="26" t="s">
        <v>23</v>
      </c>
      <c r="E12" s="27">
        <v>101.0</v>
      </c>
      <c r="F12" s="32"/>
      <c r="G12" s="29"/>
      <c r="H12" s="33"/>
      <c r="I12" s="31" t="s">
        <v>65</v>
      </c>
      <c r="J12" s="9"/>
    </row>
    <row r="13">
      <c r="A13" s="16"/>
      <c r="B13" s="12"/>
      <c r="C13" s="25"/>
      <c r="D13" s="26"/>
      <c r="E13" s="27"/>
      <c r="F13" s="32"/>
      <c r="G13" s="29"/>
      <c r="H13" s="33"/>
      <c r="I13" s="31"/>
      <c r="J13" s="9"/>
    </row>
    <row r="14">
      <c r="A14" s="16"/>
      <c r="B14" s="12"/>
      <c r="C14" s="25"/>
      <c r="D14" s="26"/>
      <c r="E14" s="27"/>
      <c r="F14" s="32"/>
      <c r="G14" s="29"/>
      <c r="H14" s="33"/>
      <c r="I14" s="31"/>
      <c r="J14" s="9"/>
    </row>
    <row r="15" ht="20.25" customHeight="1">
      <c r="A15" s="34"/>
      <c r="B15" s="12"/>
      <c r="C15" s="35"/>
      <c r="D15" s="26"/>
      <c r="E15" s="29"/>
      <c r="F15" s="28"/>
      <c r="G15" s="29"/>
      <c r="H15" s="33"/>
      <c r="I15" s="31">
        <v>2.0</v>
      </c>
      <c r="J15" s="36" t="s">
        <v>26</v>
      </c>
    </row>
    <row r="16" ht="22.5" customHeight="1">
      <c r="A16" s="37" t="s">
        <v>27</v>
      </c>
      <c r="B16" s="12"/>
      <c r="C16" s="9"/>
      <c r="D16" s="38"/>
      <c r="E16" s="39">
        <f>SUM(E9:E15)</f>
        <v>1629</v>
      </c>
      <c r="F16" s="38"/>
      <c r="G16" s="39">
        <f>SUM(G9:G15)</f>
        <v>0</v>
      </c>
      <c r="H16" s="39">
        <f>sum(H9:H15)</f>
        <v>1400</v>
      </c>
      <c r="I16" s="40">
        <f>SUM(E16:H16)</f>
        <v>3029</v>
      </c>
      <c r="J16" s="9"/>
    </row>
    <row r="17" ht="8.2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</row>
    <row r="18" ht="21.0" customHeight="1">
      <c r="A18" s="42" t="s">
        <v>28</v>
      </c>
      <c r="C18" s="43"/>
      <c r="D18" s="42" t="s">
        <v>29</v>
      </c>
      <c r="E18" s="43"/>
      <c r="F18" s="44" t="s">
        <v>30</v>
      </c>
      <c r="G18" s="43"/>
      <c r="H18" s="43"/>
      <c r="I18" s="45" t="s">
        <v>31</v>
      </c>
      <c r="J18" s="43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9.5" customHeight="1">
      <c r="A19" s="47"/>
      <c r="B19" s="47"/>
      <c r="C19" s="47"/>
      <c r="D19" s="47"/>
      <c r="E19" s="47"/>
      <c r="F19" s="47"/>
      <c r="G19" s="47"/>
      <c r="H19" s="47"/>
      <c r="I19" s="47"/>
      <c r="J19" s="47"/>
    </row>
    <row r="20" ht="12.75" customHeight="1">
      <c r="I20" s="48"/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33">
    <mergeCell ref="A1:J1"/>
    <mergeCell ref="A2:J3"/>
    <mergeCell ref="A4:B4"/>
    <mergeCell ref="E4:G4"/>
    <mergeCell ref="I4:J4"/>
    <mergeCell ref="A5:B5"/>
    <mergeCell ref="C5:J5"/>
    <mergeCell ref="A6:B6"/>
    <mergeCell ref="C6:E6"/>
    <mergeCell ref="G6:I6"/>
    <mergeCell ref="A7:B8"/>
    <mergeCell ref="C7:C8"/>
    <mergeCell ref="D7:E7"/>
    <mergeCell ref="F7:G7"/>
    <mergeCell ref="I13:J13"/>
    <mergeCell ref="I14:J14"/>
    <mergeCell ref="I7:J7"/>
    <mergeCell ref="I8:J8"/>
    <mergeCell ref="H9:H15"/>
    <mergeCell ref="I9:J9"/>
    <mergeCell ref="I10:J10"/>
    <mergeCell ref="I11:J11"/>
    <mergeCell ref="I12:J12"/>
    <mergeCell ref="I16:J16"/>
    <mergeCell ref="A16:C16"/>
    <mergeCell ref="A18:B18"/>
    <mergeCell ref="A9:B9"/>
    <mergeCell ref="A10:B10"/>
    <mergeCell ref="A11:B11"/>
    <mergeCell ref="A12:B12"/>
    <mergeCell ref="A13:B13"/>
    <mergeCell ref="A14:B14"/>
    <mergeCell ref="A15:B15"/>
  </mergeCells>
  <dataValidations>
    <dataValidation type="list" allowBlank="1" showErrorMessage="1" sqref="D9:D15">
      <formula1>"高鐵,計程車,台鐵,捷運,自行開車"</formula1>
    </dataValidation>
    <dataValidation type="list" allowBlank="1" showErrorMessage="1" sqref="E4">
      <formula1>"總公司,嶼嶼行銷,影音部"</formula1>
    </dataValidation>
    <dataValidation type="custom" allowBlank="1" showDropDown="1" showInputMessage="1" showErrorMessage="1" prompt="輸入有效日期" sqref="C6 G6 A9:A15">
      <formula1>OR(NOT(ISERROR(DATEVALUE(A6))), AND(ISNUMBER(A6), LEFT(CELL("format", A6))="D"))</formula1>
    </dataValidation>
  </dataValidations>
  <printOptions horizontalCentered="1"/>
  <pageMargins bottom="0.75" footer="0.0" header="0.0" left="0.25" right="0.25" top="0.75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7.38"/>
    <col customWidth="1" min="3" max="3" width="15.88"/>
    <col customWidth="1" min="4" max="4" width="15.25"/>
    <col customWidth="1" min="5" max="5" width="9.38"/>
    <col customWidth="1" min="6" max="6" width="14.88"/>
    <col customWidth="1" min="7" max="7" width="10.38"/>
    <col customWidth="1" min="8" max="8" width="13.38"/>
    <col customWidth="1" min="9" max="9" width="28.75"/>
    <col customWidth="1" min="10" max="10" width="11.13"/>
    <col customWidth="1" min="11" max="26" width="11.0"/>
  </cols>
  <sheetData>
    <row r="1" ht="78.0" customHeight="1">
      <c r="A1" s="1"/>
    </row>
    <row r="2" ht="24.0" customHeight="1">
      <c r="A2" s="2" t="s">
        <v>0</v>
      </c>
      <c r="B2" s="3"/>
      <c r="C2" s="3"/>
      <c r="D2" s="3"/>
      <c r="E2" s="3"/>
      <c r="F2" s="3"/>
      <c r="G2" s="3"/>
      <c r="H2" s="3"/>
      <c r="I2" s="3"/>
      <c r="J2" s="4"/>
    </row>
    <row r="3" ht="10.5" customHeight="1">
      <c r="A3" s="5"/>
      <c r="B3" s="6"/>
      <c r="C3" s="6"/>
      <c r="D3" s="6"/>
      <c r="E3" s="6"/>
      <c r="F3" s="6"/>
      <c r="G3" s="6"/>
      <c r="H3" s="6"/>
      <c r="I3" s="6"/>
      <c r="J3" s="7"/>
    </row>
    <row r="4" ht="22.5" customHeight="1">
      <c r="A4" s="8" t="s">
        <v>1</v>
      </c>
      <c r="B4" s="9"/>
      <c r="C4" s="10" t="s">
        <v>2</v>
      </c>
      <c r="D4" s="11" t="s">
        <v>3</v>
      </c>
      <c r="E4" s="8" t="s">
        <v>4</v>
      </c>
      <c r="F4" s="12"/>
      <c r="G4" s="9"/>
      <c r="H4" s="13" t="s">
        <v>5</v>
      </c>
      <c r="I4" s="14" t="s">
        <v>6</v>
      </c>
      <c r="J4" s="9"/>
    </row>
    <row r="5" ht="22.5" customHeight="1">
      <c r="A5" s="8" t="s">
        <v>7</v>
      </c>
      <c r="B5" s="9"/>
      <c r="C5" s="15" t="s">
        <v>67</v>
      </c>
      <c r="D5" s="3"/>
      <c r="E5" s="3"/>
      <c r="F5" s="3"/>
      <c r="G5" s="3"/>
      <c r="H5" s="3"/>
      <c r="I5" s="3"/>
      <c r="J5" s="4"/>
    </row>
    <row r="6" ht="22.5" customHeight="1">
      <c r="A6" s="8" t="s">
        <v>9</v>
      </c>
      <c r="B6" s="9"/>
      <c r="C6" s="16">
        <v>46063.0</v>
      </c>
      <c r="D6" s="12"/>
      <c r="E6" s="12"/>
      <c r="F6" s="11" t="s">
        <v>10</v>
      </c>
      <c r="G6" s="16">
        <v>46063.0</v>
      </c>
      <c r="H6" s="12"/>
      <c r="I6" s="12"/>
      <c r="J6" s="17" t="s">
        <v>11</v>
      </c>
    </row>
    <row r="7" ht="22.5" customHeight="1">
      <c r="A7" s="18" t="s">
        <v>12</v>
      </c>
      <c r="B7" s="4"/>
      <c r="C7" s="19" t="s">
        <v>13</v>
      </c>
      <c r="D7" s="20" t="s">
        <v>14</v>
      </c>
      <c r="E7" s="7"/>
      <c r="F7" s="21" t="s">
        <v>15</v>
      </c>
      <c r="G7" s="7"/>
      <c r="H7" s="22" t="s">
        <v>16</v>
      </c>
      <c r="I7" s="20" t="s">
        <v>17</v>
      </c>
      <c r="J7" s="7"/>
    </row>
    <row r="8" ht="22.5" customHeight="1">
      <c r="A8" s="5"/>
      <c r="B8" s="7"/>
      <c r="C8" s="23"/>
      <c r="D8" s="11" t="s">
        <v>18</v>
      </c>
      <c r="E8" s="11" t="s">
        <v>19</v>
      </c>
      <c r="F8" s="11" t="s">
        <v>20</v>
      </c>
      <c r="G8" s="24" t="s">
        <v>19</v>
      </c>
      <c r="H8" s="24" t="s">
        <v>19</v>
      </c>
      <c r="I8" s="8" t="s">
        <v>21</v>
      </c>
      <c r="J8" s="9"/>
    </row>
    <row r="9">
      <c r="A9" s="16">
        <v>46063.0</v>
      </c>
      <c r="B9" s="12"/>
      <c r="C9" s="25" t="s">
        <v>68</v>
      </c>
      <c r="D9" s="26" t="s">
        <v>34</v>
      </c>
      <c r="E9" s="27">
        <v>254.0</v>
      </c>
      <c r="F9" s="28"/>
      <c r="G9" s="29"/>
      <c r="H9" s="30">
        <f>(G6-C6+1)*700*I15</f>
        <v>1400</v>
      </c>
      <c r="I9" s="31" t="s">
        <v>43</v>
      </c>
      <c r="J9" s="9"/>
    </row>
    <row r="10">
      <c r="A10" s="16">
        <v>46063.0</v>
      </c>
      <c r="B10" s="12"/>
      <c r="C10" s="25" t="s">
        <v>69</v>
      </c>
      <c r="D10" s="26" t="s">
        <v>34</v>
      </c>
      <c r="E10" s="27">
        <v>292.0</v>
      </c>
      <c r="F10" s="32"/>
      <c r="G10" s="29"/>
      <c r="H10" s="33"/>
      <c r="I10" s="31" t="s">
        <v>43</v>
      </c>
      <c r="J10" s="9"/>
    </row>
    <row r="11">
      <c r="A11" s="16"/>
      <c r="B11" s="12"/>
      <c r="C11" s="25"/>
      <c r="D11" s="26"/>
      <c r="E11" s="27"/>
      <c r="F11" s="32"/>
      <c r="G11" s="29"/>
      <c r="H11" s="33"/>
      <c r="I11" s="31"/>
      <c r="J11" s="9"/>
    </row>
    <row r="12">
      <c r="A12" s="16"/>
      <c r="B12" s="12"/>
      <c r="C12" s="25"/>
      <c r="D12" s="26"/>
      <c r="E12" s="27"/>
      <c r="F12" s="32"/>
      <c r="G12" s="29"/>
      <c r="H12" s="33"/>
      <c r="I12" s="31"/>
      <c r="J12" s="9"/>
    </row>
    <row r="13">
      <c r="A13" s="16"/>
      <c r="B13" s="12"/>
      <c r="C13" s="25"/>
      <c r="D13" s="26"/>
      <c r="E13" s="27"/>
      <c r="F13" s="32"/>
      <c r="G13" s="29"/>
      <c r="H13" s="33"/>
      <c r="I13" s="31"/>
      <c r="J13" s="9"/>
    </row>
    <row r="14">
      <c r="A14" s="16"/>
      <c r="B14" s="12"/>
      <c r="C14" s="25"/>
      <c r="D14" s="26"/>
      <c r="E14" s="27"/>
      <c r="F14" s="32"/>
      <c r="G14" s="29"/>
      <c r="H14" s="33"/>
      <c r="I14" s="31"/>
      <c r="J14" s="9"/>
    </row>
    <row r="15" ht="20.25" customHeight="1">
      <c r="A15" s="34"/>
      <c r="B15" s="12"/>
      <c r="C15" s="35"/>
      <c r="D15" s="26"/>
      <c r="E15" s="29"/>
      <c r="F15" s="28"/>
      <c r="G15" s="29"/>
      <c r="H15" s="33"/>
      <c r="I15" s="31">
        <v>2.0</v>
      </c>
      <c r="J15" s="36" t="s">
        <v>26</v>
      </c>
    </row>
    <row r="16" ht="22.5" customHeight="1">
      <c r="A16" s="37" t="s">
        <v>27</v>
      </c>
      <c r="B16" s="12"/>
      <c r="C16" s="9"/>
      <c r="D16" s="38"/>
      <c r="E16" s="39">
        <f>SUM(E9:E15)</f>
        <v>546</v>
      </c>
      <c r="F16" s="38"/>
      <c r="G16" s="39">
        <f>SUM(G9:G15)</f>
        <v>0</v>
      </c>
      <c r="H16" s="39">
        <f>sum(H9:H15)</f>
        <v>1400</v>
      </c>
      <c r="I16" s="40">
        <f>SUM(E16:H16)</f>
        <v>1946</v>
      </c>
      <c r="J16" s="9"/>
    </row>
    <row r="17" ht="8.2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</row>
    <row r="18" ht="21.0" customHeight="1">
      <c r="A18" s="42" t="s">
        <v>28</v>
      </c>
      <c r="C18" s="43"/>
      <c r="D18" s="42" t="s">
        <v>29</v>
      </c>
      <c r="E18" s="43"/>
      <c r="F18" s="44" t="s">
        <v>30</v>
      </c>
      <c r="G18" s="43"/>
      <c r="H18" s="43"/>
      <c r="I18" s="45" t="s">
        <v>31</v>
      </c>
      <c r="J18" s="43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9.5" customHeight="1">
      <c r="A19" s="47"/>
      <c r="B19" s="47"/>
      <c r="C19" s="47"/>
      <c r="D19" s="47"/>
      <c r="E19" s="47"/>
      <c r="F19" s="47"/>
      <c r="G19" s="47"/>
      <c r="H19" s="47"/>
      <c r="I19" s="47"/>
      <c r="J19" s="47"/>
    </row>
    <row r="20" ht="12.75" customHeight="1">
      <c r="I20" s="48"/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33">
    <mergeCell ref="A1:J1"/>
    <mergeCell ref="A2:J3"/>
    <mergeCell ref="A4:B4"/>
    <mergeCell ref="E4:G4"/>
    <mergeCell ref="I4:J4"/>
    <mergeCell ref="A5:B5"/>
    <mergeCell ref="C5:J5"/>
    <mergeCell ref="A6:B6"/>
    <mergeCell ref="C6:E6"/>
    <mergeCell ref="G6:I6"/>
    <mergeCell ref="A7:B8"/>
    <mergeCell ref="C7:C8"/>
    <mergeCell ref="D7:E7"/>
    <mergeCell ref="F7:G7"/>
    <mergeCell ref="I13:J13"/>
    <mergeCell ref="I14:J14"/>
    <mergeCell ref="I7:J7"/>
    <mergeCell ref="I8:J8"/>
    <mergeCell ref="H9:H15"/>
    <mergeCell ref="I9:J9"/>
    <mergeCell ref="I10:J10"/>
    <mergeCell ref="I11:J11"/>
    <mergeCell ref="I12:J12"/>
    <mergeCell ref="I16:J16"/>
    <mergeCell ref="A16:C16"/>
    <mergeCell ref="A18:B18"/>
    <mergeCell ref="A9:B9"/>
    <mergeCell ref="A10:B10"/>
    <mergeCell ref="A11:B11"/>
    <mergeCell ref="A12:B12"/>
    <mergeCell ref="A13:B13"/>
    <mergeCell ref="A14:B14"/>
    <mergeCell ref="A15:B15"/>
  </mergeCells>
  <dataValidations>
    <dataValidation type="list" allowBlank="1" showErrorMessage="1" sqref="D9:D15">
      <formula1>"高鐵,計程車,台鐵,捷運,自行開車"</formula1>
    </dataValidation>
    <dataValidation type="list" allowBlank="1" showErrorMessage="1" sqref="E4">
      <formula1>"總公司,嶼嶼行銷,影音部"</formula1>
    </dataValidation>
    <dataValidation type="custom" allowBlank="1" showDropDown="1" showInputMessage="1" showErrorMessage="1" prompt="輸入有效日期" sqref="C6 G6 A9:A15">
      <formula1>OR(NOT(ISERROR(DATEVALUE(A6))), AND(ISNUMBER(A6), LEFT(CELL("format", A6))="D"))</formula1>
    </dataValidation>
  </dataValidations>
  <printOptions horizontalCentered="1"/>
  <pageMargins bottom="0.75" footer="0.0" header="0.0" left="0.25" right="0.25" top="0.75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7.38"/>
    <col customWidth="1" min="3" max="3" width="15.88"/>
    <col customWidth="1" min="4" max="4" width="15.25"/>
    <col customWidth="1" min="5" max="5" width="9.38"/>
    <col customWidth="1" min="6" max="6" width="14.88"/>
    <col customWidth="1" min="7" max="7" width="10.38"/>
    <col customWidth="1" min="8" max="8" width="13.38"/>
    <col customWidth="1" min="9" max="9" width="28.75"/>
    <col customWidth="1" min="10" max="10" width="11.13"/>
    <col customWidth="1" min="11" max="26" width="11.0"/>
  </cols>
  <sheetData>
    <row r="1" ht="78.0" customHeight="1">
      <c r="A1" s="1"/>
    </row>
    <row r="2" ht="24.0" customHeight="1">
      <c r="A2" s="2" t="s">
        <v>0</v>
      </c>
      <c r="B2" s="3"/>
      <c r="C2" s="3"/>
      <c r="D2" s="3"/>
      <c r="E2" s="3"/>
      <c r="F2" s="3"/>
      <c r="G2" s="3"/>
      <c r="H2" s="3"/>
      <c r="I2" s="3"/>
      <c r="J2" s="4"/>
    </row>
    <row r="3" ht="10.5" customHeight="1">
      <c r="A3" s="5"/>
      <c r="B3" s="6"/>
      <c r="C3" s="6"/>
      <c r="D3" s="6"/>
      <c r="E3" s="6"/>
      <c r="F3" s="6"/>
      <c r="G3" s="6"/>
      <c r="H3" s="6"/>
      <c r="I3" s="6"/>
      <c r="J3" s="7"/>
    </row>
    <row r="4" ht="22.5" customHeight="1">
      <c r="A4" s="8" t="s">
        <v>1</v>
      </c>
      <c r="B4" s="9"/>
      <c r="C4" s="10" t="s">
        <v>2</v>
      </c>
      <c r="D4" s="11" t="s">
        <v>3</v>
      </c>
      <c r="E4" s="8" t="s">
        <v>4</v>
      </c>
      <c r="F4" s="12"/>
      <c r="G4" s="9"/>
      <c r="H4" s="13" t="s">
        <v>5</v>
      </c>
      <c r="I4" s="14" t="s">
        <v>6</v>
      </c>
      <c r="J4" s="9"/>
    </row>
    <row r="5" ht="22.5" customHeight="1">
      <c r="A5" s="8" t="s">
        <v>7</v>
      </c>
      <c r="B5" s="9"/>
      <c r="C5" s="15" t="s">
        <v>70</v>
      </c>
      <c r="D5" s="3"/>
      <c r="E5" s="3"/>
      <c r="F5" s="3"/>
      <c r="G5" s="3"/>
      <c r="H5" s="3"/>
      <c r="I5" s="3"/>
      <c r="J5" s="4"/>
    </row>
    <row r="6" ht="22.5" customHeight="1">
      <c r="A6" s="8" t="s">
        <v>9</v>
      </c>
      <c r="B6" s="9"/>
      <c r="C6" s="16">
        <v>46078.0</v>
      </c>
      <c r="D6" s="12"/>
      <c r="E6" s="12"/>
      <c r="F6" s="11" t="s">
        <v>10</v>
      </c>
      <c r="G6" s="16">
        <v>46078.0</v>
      </c>
      <c r="H6" s="12"/>
      <c r="I6" s="12"/>
      <c r="J6" s="17" t="s">
        <v>11</v>
      </c>
    </row>
    <row r="7" ht="22.5" customHeight="1">
      <c r="A7" s="18" t="s">
        <v>12</v>
      </c>
      <c r="B7" s="4"/>
      <c r="C7" s="19" t="s">
        <v>13</v>
      </c>
      <c r="D7" s="20" t="s">
        <v>14</v>
      </c>
      <c r="E7" s="7"/>
      <c r="F7" s="21" t="s">
        <v>15</v>
      </c>
      <c r="G7" s="7"/>
      <c r="H7" s="22" t="s">
        <v>16</v>
      </c>
      <c r="I7" s="20" t="s">
        <v>17</v>
      </c>
      <c r="J7" s="7"/>
    </row>
    <row r="8" ht="22.5" customHeight="1">
      <c r="A8" s="5"/>
      <c r="B8" s="7"/>
      <c r="C8" s="23"/>
      <c r="D8" s="11" t="s">
        <v>18</v>
      </c>
      <c r="E8" s="11" t="s">
        <v>19</v>
      </c>
      <c r="F8" s="11" t="s">
        <v>20</v>
      </c>
      <c r="G8" s="24" t="s">
        <v>19</v>
      </c>
      <c r="H8" s="24" t="s">
        <v>19</v>
      </c>
      <c r="I8" s="8" t="s">
        <v>21</v>
      </c>
      <c r="J8" s="9"/>
    </row>
    <row r="9">
      <c r="A9" s="16">
        <v>46078.0</v>
      </c>
      <c r="B9" s="12"/>
      <c r="C9" s="25" t="s">
        <v>71</v>
      </c>
      <c r="D9" s="26" t="s">
        <v>34</v>
      </c>
      <c r="E9" s="27">
        <v>183.0</v>
      </c>
      <c r="F9" s="28"/>
      <c r="G9" s="29"/>
      <c r="H9" s="30">
        <f>(G6-C6+1)*700*I15</f>
        <v>1400</v>
      </c>
      <c r="I9" s="31" t="s">
        <v>72</v>
      </c>
      <c r="J9" s="9"/>
    </row>
    <row r="10">
      <c r="A10" s="16">
        <v>46078.0</v>
      </c>
      <c r="B10" s="12"/>
      <c r="C10" s="25" t="s">
        <v>73</v>
      </c>
      <c r="D10" s="26" t="s">
        <v>34</v>
      </c>
      <c r="E10" s="27">
        <v>189.0</v>
      </c>
      <c r="F10" s="32"/>
      <c r="G10" s="29"/>
      <c r="H10" s="33"/>
      <c r="I10" s="31" t="s">
        <v>72</v>
      </c>
      <c r="J10" s="9"/>
    </row>
    <row r="11">
      <c r="A11" s="16"/>
      <c r="B11" s="12"/>
      <c r="C11" s="25"/>
      <c r="D11" s="26"/>
      <c r="E11" s="27"/>
      <c r="F11" s="32"/>
      <c r="G11" s="29"/>
      <c r="H11" s="33"/>
      <c r="I11" s="31"/>
      <c r="J11" s="9"/>
    </row>
    <row r="12">
      <c r="A12" s="16"/>
      <c r="B12" s="12"/>
      <c r="C12" s="25"/>
      <c r="D12" s="26"/>
      <c r="E12" s="27"/>
      <c r="F12" s="32"/>
      <c r="G12" s="29"/>
      <c r="H12" s="33"/>
      <c r="I12" s="31"/>
      <c r="J12" s="9"/>
    </row>
    <row r="13">
      <c r="A13" s="16"/>
      <c r="B13" s="12"/>
      <c r="C13" s="25"/>
      <c r="D13" s="26"/>
      <c r="E13" s="27"/>
      <c r="F13" s="32"/>
      <c r="G13" s="29"/>
      <c r="H13" s="33"/>
      <c r="I13" s="31"/>
      <c r="J13" s="9"/>
    </row>
    <row r="14">
      <c r="A14" s="16"/>
      <c r="B14" s="12"/>
      <c r="C14" s="25"/>
      <c r="D14" s="26"/>
      <c r="E14" s="27"/>
      <c r="F14" s="32"/>
      <c r="G14" s="29"/>
      <c r="H14" s="33"/>
      <c r="I14" s="31"/>
      <c r="J14" s="9"/>
    </row>
    <row r="15" ht="20.25" customHeight="1">
      <c r="A15" s="34"/>
      <c r="B15" s="12"/>
      <c r="C15" s="35"/>
      <c r="D15" s="26"/>
      <c r="E15" s="29"/>
      <c r="F15" s="28"/>
      <c r="G15" s="29"/>
      <c r="H15" s="33"/>
      <c r="I15" s="31">
        <v>2.0</v>
      </c>
      <c r="J15" s="36" t="s">
        <v>26</v>
      </c>
    </row>
    <row r="16" ht="22.5" customHeight="1">
      <c r="A16" s="37" t="s">
        <v>27</v>
      </c>
      <c r="B16" s="12"/>
      <c r="C16" s="9"/>
      <c r="D16" s="38"/>
      <c r="E16" s="39">
        <f>SUM(E9:E15)</f>
        <v>372</v>
      </c>
      <c r="F16" s="38"/>
      <c r="G16" s="39">
        <f>SUM(G9:G15)</f>
        <v>0</v>
      </c>
      <c r="H16" s="39">
        <f>sum(H9:H15)</f>
        <v>1400</v>
      </c>
      <c r="I16" s="40">
        <f>SUM(E16:H16)</f>
        <v>1772</v>
      </c>
      <c r="J16" s="9"/>
    </row>
    <row r="17" ht="8.2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</row>
    <row r="18" ht="21.0" customHeight="1">
      <c r="A18" s="42" t="s">
        <v>28</v>
      </c>
      <c r="C18" s="43"/>
      <c r="D18" s="42" t="s">
        <v>29</v>
      </c>
      <c r="E18" s="43"/>
      <c r="F18" s="44" t="s">
        <v>30</v>
      </c>
      <c r="G18" s="43"/>
      <c r="H18" s="43"/>
      <c r="I18" s="45" t="s">
        <v>31</v>
      </c>
      <c r="J18" s="43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9.5" customHeight="1">
      <c r="A19" s="47"/>
      <c r="B19" s="47"/>
      <c r="C19" s="47"/>
      <c r="D19" s="47"/>
      <c r="E19" s="47"/>
      <c r="F19" s="47"/>
      <c r="G19" s="47"/>
      <c r="H19" s="47"/>
      <c r="I19" s="47"/>
      <c r="J19" s="47"/>
    </row>
    <row r="20" ht="12.75" customHeight="1">
      <c r="I20" s="48"/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33">
    <mergeCell ref="A1:J1"/>
    <mergeCell ref="A2:J3"/>
    <mergeCell ref="A4:B4"/>
    <mergeCell ref="E4:G4"/>
    <mergeCell ref="I4:J4"/>
    <mergeCell ref="A5:B5"/>
    <mergeCell ref="C5:J5"/>
    <mergeCell ref="A6:B6"/>
    <mergeCell ref="C6:E6"/>
    <mergeCell ref="G6:I6"/>
    <mergeCell ref="A7:B8"/>
    <mergeCell ref="C7:C8"/>
    <mergeCell ref="D7:E7"/>
    <mergeCell ref="F7:G7"/>
    <mergeCell ref="I13:J13"/>
    <mergeCell ref="I14:J14"/>
    <mergeCell ref="I7:J7"/>
    <mergeCell ref="I8:J8"/>
    <mergeCell ref="H9:H15"/>
    <mergeCell ref="I9:J9"/>
    <mergeCell ref="I10:J10"/>
    <mergeCell ref="I11:J11"/>
    <mergeCell ref="I12:J12"/>
    <mergeCell ref="I16:J16"/>
    <mergeCell ref="A16:C16"/>
    <mergeCell ref="A18:B18"/>
    <mergeCell ref="A9:B9"/>
    <mergeCell ref="A10:B10"/>
    <mergeCell ref="A11:B11"/>
    <mergeCell ref="A12:B12"/>
    <mergeCell ref="A13:B13"/>
    <mergeCell ref="A14:B14"/>
    <mergeCell ref="A15:B15"/>
  </mergeCells>
  <dataValidations>
    <dataValidation type="list" allowBlank="1" showErrorMessage="1" sqref="D9:D15">
      <formula1>"高鐵,計程車,台鐵,捷運,自行開車"</formula1>
    </dataValidation>
    <dataValidation type="list" allowBlank="1" showErrorMessage="1" sqref="E4">
      <formula1>"總公司,嶼嶼行銷,影音部"</formula1>
    </dataValidation>
    <dataValidation type="custom" allowBlank="1" showDropDown="1" showInputMessage="1" showErrorMessage="1" prompt="輸入有效日期" sqref="C6 G6 A9:A15">
      <formula1>OR(NOT(ISERROR(DATEVALUE(A6))), AND(ISNUMBER(A6), LEFT(CELL("format", A6))="D"))</formula1>
    </dataValidation>
  </dataValidations>
  <printOptions horizontalCentered="1"/>
  <pageMargins bottom="0.75" footer="0.0" header="0.0" left="0.25" right="0.25" top="0.75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7.38"/>
    <col customWidth="1" min="3" max="3" width="15.88"/>
    <col customWidth="1" min="4" max="4" width="15.25"/>
    <col customWidth="1" min="5" max="5" width="9.38"/>
    <col customWidth="1" min="6" max="6" width="14.88"/>
    <col customWidth="1" min="7" max="7" width="10.38"/>
    <col customWidth="1" min="8" max="8" width="13.38"/>
    <col customWidth="1" min="9" max="9" width="28.75"/>
    <col customWidth="1" min="10" max="10" width="11.13"/>
    <col customWidth="1" min="11" max="26" width="11.0"/>
  </cols>
  <sheetData>
    <row r="1" ht="78.0" customHeight="1">
      <c r="A1" s="1"/>
    </row>
    <row r="2" ht="24.0" customHeight="1">
      <c r="A2" s="2" t="s">
        <v>0</v>
      </c>
      <c r="B2" s="3"/>
      <c r="C2" s="3"/>
      <c r="D2" s="3"/>
      <c r="E2" s="3"/>
      <c r="F2" s="3"/>
      <c r="G2" s="3"/>
      <c r="H2" s="3"/>
      <c r="I2" s="3"/>
      <c r="J2" s="4"/>
    </row>
    <row r="3" ht="10.5" customHeight="1">
      <c r="A3" s="5"/>
      <c r="B3" s="6"/>
      <c r="C3" s="6"/>
      <c r="D3" s="6"/>
      <c r="E3" s="6"/>
      <c r="F3" s="6"/>
      <c r="G3" s="6"/>
      <c r="H3" s="6"/>
      <c r="I3" s="6"/>
      <c r="J3" s="7"/>
    </row>
    <row r="4" ht="22.5" customHeight="1">
      <c r="A4" s="8" t="s">
        <v>1</v>
      </c>
      <c r="B4" s="9"/>
      <c r="C4" s="10" t="s">
        <v>2</v>
      </c>
      <c r="D4" s="11" t="s">
        <v>3</v>
      </c>
      <c r="E4" s="8" t="s">
        <v>4</v>
      </c>
      <c r="F4" s="12"/>
      <c r="G4" s="9"/>
      <c r="H4" s="13" t="s">
        <v>5</v>
      </c>
      <c r="I4" s="14" t="s">
        <v>6</v>
      </c>
      <c r="J4" s="9"/>
    </row>
    <row r="5" ht="22.5" customHeight="1">
      <c r="A5" s="8" t="s">
        <v>7</v>
      </c>
      <c r="B5" s="9"/>
      <c r="C5" s="15" t="s">
        <v>74</v>
      </c>
      <c r="D5" s="3"/>
      <c r="E5" s="3"/>
      <c r="F5" s="3"/>
      <c r="G5" s="3"/>
      <c r="H5" s="3"/>
      <c r="I5" s="3"/>
      <c r="J5" s="4"/>
    </row>
    <row r="6" ht="22.5" customHeight="1">
      <c r="A6" s="8" t="s">
        <v>9</v>
      </c>
      <c r="B6" s="9"/>
      <c r="C6" s="16">
        <v>46086.0</v>
      </c>
      <c r="D6" s="12"/>
      <c r="E6" s="12"/>
      <c r="F6" s="11" t="s">
        <v>10</v>
      </c>
      <c r="G6" s="16">
        <v>46086.0</v>
      </c>
      <c r="H6" s="12"/>
      <c r="I6" s="12"/>
      <c r="J6" s="17" t="s">
        <v>11</v>
      </c>
    </row>
    <row r="7" ht="22.5" customHeight="1">
      <c r="A7" s="18" t="s">
        <v>12</v>
      </c>
      <c r="B7" s="4"/>
      <c r="C7" s="19" t="s">
        <v>13</v>
      </c>
      <c r="D7" s="20" t="s">
        <v>14</v>
      </c>
      <c r="E7" s="7"/>
      <c r="F7" s="21" t="s">
        <v>15</v>
      </c>
      <c r="G7" s="7"/>
      <c r="H7" s="22" t="s">
        <v>16</v>
      </c>
      <c r="I7" s="20" t="s">
        <v>17</v>
      </c>
      <c r="J7" s="7"/>
    </row>
    <row r="8" ht="22.5" customHeight="1">
      <c r="A8" s="5"/>
      <c r="B8" s="7"/>
      <c r="C8" s="23"/>
      <c r="D8" s="11" t="s">
        <v>18</v>
      </c>
      <c r="E8" s="11" t="s">
        <v>19</v>
      </c>
      <c r="F8" s="11" t="s">
        <v>20</v>
      </c>
      <c r="G8" s="24" t="s">
        <v>19</v>
      </c>
      <c r="H8" s="24" t="s">
        <v>19</v>
      </c>
      <c r="I8" s="8" t="s">
        <v>21</v>
      </c>
      <c r="J8" s="9"/>
    </row>
    <row r="9">
      <c r="A9" s="16">
        <v>46086.0</v>
      </c>
      <c r="B9" s="12"/>
      <c r="C9" s="25" t="s">
        <v>33</v>
      </c>
      <c r="D9" s="26" t="s">
        <v>34</v>
      </c>
      <c r="E9" s="27">
        <v>572.0</v>
      </c>
      <c r="F9" s="28"/>
      <c r="G9" s="29"/>
      <c r="H9" s="30">
        <f>(G6-C6+1)*700*I15</f>
        <v>700</v>
      </c>
      <c r="I9" s="31"/>
      <c r="J9" s="9"/>
    </row>
    <row r="10">
      <c r="A10" s="16">
        <v>46086.0</v>
      </c>
      <c r="B10" s="12"/>
      <c r="C10" s="25" t="s">
        <v>75</v>
      </c>
      <c r="D10" s="26" t="s">
        <v>55</v>
      </c>
      <c r="E10" s="27">
        <v>45.0</v>
      </c>
      <c r="F10" s="32"/>
      <c r="G10" s="29"/>
      <c r="H10" s="33"/>
      <c r="I10" s="31"/>
      <c r="J10" s="9"/>
    </row>
    <row r="11">
      <c r="A11" s="16"/>
      <c r="B11" s="12"/>
      <c r="C11" s="25"/>
      <c r="D11" s="26"/>
      <c r="E11" s="27"/>
      <c r="F11" s="32"/>
      <c r="G11" s="29"/>
      <c r="H11" s="33"/>
      <c r="I11" s="31"/>
      <c r="J11" s="9"/>
    </row>
    <row r="12">
      <c r="A12" s="16"/>
      <c r="B12" s="12"/>
      <c r="C12" s="25"/>
      <c r="D12" s="26"/>
      <c r="E12" s="27"/>
      <c r="F12" s="32"/>
      <c r="G12" s="29"/>
      <c r="H12" s="33"/>
      <c r="I12" s="31"/>
      <c r="J12" s="9"/>
    </row>
    <row r="13">
      <c r="A13" s="16"/>
      <c r="B13" s="12"/>
      <c r="C13" s="25"/>
      <c r="D13" s="26"/>
      <c r="E13" s="27"/>
      <c r="F13" s="32"/>
      <c r="G13" s="29"/>
      <c r="H13" s="33"/>
      <c r="I13" s="31"/>
      <c r="J13" s="9"/>
    </row>
    <row r="14">
      <c r="A14" s="16"/>
      <c r="B14" s="12"/>
      <c r="C14" s="25"/>
      <c r="D14" s="26"/>
      <c r="E14" s="27"/>
      <c r="F14" s="32"/>
      <c r="G14" s="29"/>
      <c r="H14" s="33"/>
      <c r="I14" s="31"/>
      <c r="J14" s="9"/>
    </row>
    <row r="15" ht="20.25" customHeight="1">
      <c r="A15" s="34"/>
      <c r="B15" s="12"/>
      <c r="C15" s="35"/>
      <c r="D15" s="26"/>
      <c r="E15" s="29"/>
      <c r="F15" s="28"/>
      <c r="G15" s="29"/>
      <c r="H15" s="33"/>
      <c r="I15" s="31">
        <v>1.0</v>
      </c>
      <c r="J15" s="36" t="s">
        <v>26</v>
      </c>
    </row>
    <row r="16" ht="22.5" customHeight="1">
      <c r="A16" s="37" t="s">
        <v>27</v>
      </c>
      <c r="B16" s="12"/>
      <c r="C16" s="9"/>
      <c r="D16" s="38"/>
      <c r="E16" s="39">
        <f>SUM(E9:E15)</f>
        <v>617</v>
      </c>
      <c r="F16" s="38"/>
      <c r="G16" s="39">
        <f>SUM(G9:G15)</f>
        <v>0</v>
      </c>
      <c r="H16" s="39">
        <f>sum(H9:H15)</f>
        <v>700</v>
      </c>
      <c r="I16" s="40">
        <f>SUM(E16:H16)</f>
        <v>1317</v>
      </c>
      <c r="J16" s="9"/>
    </row>
    <row r="17" ht="8.2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</row>
    <row r="18" ht="21.0" customHeight="1">
      <c r="A18" s="42" t="s">
        <v>28</v>
      </c>
      <c r="C18" s="43"/>
      <c r="D18" s="42" t="s">
        <v>29</v>
      </c>
      <c r="E18" s="43"/>
      <c r="F18" s="44" t="s">
        <v>30</v>
      </c>
      <c r="G18" s="43"/>
      <c r="H18" s="43"/>
      <c r="I18" s="45" t="s">
        <v>31</v>
      </c>
      <c r="J18" s="43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9.5" customHeight="1">
      <c r="A19" s="47"/>
      <c r="B19" s="47"/>
      <c r="C19" s="47"/>
      <c r="D19" s="47"/>
      <c r="E19" s="47"/>
      <c r="F19" s="47"/>
      <c r="G19" s="47"/>
      <c r="H19" s="47"/>
      <c r="I19" s="47"/>
      <c r="J19" s="47"/>
    </row>
    <row r="20" ht="12.75" customHeight="1">
      <c r="I20" s="48"/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33">
    <mergeCell ref="A1:J1"/>
    <mergeCell ref="A2:J3"/>
    <mergeCell ref="A4:B4"/>
    <mergeCell ref="E4:G4"/>
    <mergeCell ref="I4:J4"/>
    <mergeCell ref="A5:B5"/>
    <mergeCell ref="C5:J5"/>
    <mergeCell ref="A6:B6"/>
    <mergeCell ref="C6:E6"/>
    <mergeCell ref="G6:I6"/>
    <mergeCell ref="A7:B8"/>
    <mergeCell ref="C7:C8"/>
    <mergeCell ref="D7:E7"/>
    <mergeCell ref="F7:G7"/>
    <mergeCell ref="I13:J13"/>
    <mergeCell ref="I14:J14"/>
    <mergeCell ref="I7:J7"/>
    <mergeCell ref="I8:J8"/>
    <mergeCell ref="H9:H15"/>
    <mergeCell ref="I9:J9"/>
    <mergeCell ref="I10:J10"/>
    <mergeCell ref="I11:J11"/>
    <mergeCell ref="I12:J12"/>
    <mergeCell ref="I16:J16"/>
    <mergeCell ref="A16:C16"/>
    <mergeCell ref="A18:B18"/>
    <mergeCell ref="A9:B9"/>
    <mergeCell ref="A10:B10"/>
    <mergeCell ref="A11:B11"/>
    <mergeCell ref="A12:B12"/>
    <mergeCell ref="A13:B13"/>
    <mergeCell ref="A14:B14"/>
    <mergeCell ref="A15:B15"/>
  </mergeCells>
  <dataValidations>
    <dataValidation type="list" allowBlank="1" showErrorMessage="1" sqref="D9:D15">
      <formula1>"高鐵,計程車,台鐵,捷運,自行開車"</formula1>
    </dataValidation>
    <dataValidation type="list" allowBlank="1" showErrorMessage="1" sqref="E4">
      <formula1>"總公司,嶼嶼行銷,影音部"</formula1>
    </dataValidation>
    <dataValidation type="custom" allowBlank="1" showDropDown="1" showInputMessage="1" showErrorMessage="1" prompt="輸入有效日期" sqref="C6 G6 A9:A15">
      <formula1>OR(NOT(ISERROR(DATEVALUE(A6))), AND(ISNUMBER(A6), LEFT(CELL("format", A6))="D"))</formula1>
    </dataValidation>
  </dataValidations>
  <printOptions horizontalCentered="1"/>
  <pageMargins bottom="0.75" footer="0.0" header="0.0" left="0.25" right="0.25" top="0.75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7.38"/>
    <col customWidth="1" min="3" max="3" width="15.88"/>
    <col customWidth="1" min="4" max="4" width="15.25"/>
    <col customWidth="1" min="5" max="5" width="9.38"/>
    <col customWidth="1" min="6" max="6" width="14.88"/>
    <col customWidth="1" min="7" max="7" width="10.38"/>
    <col customWidth="1" min="8" max="8" width="13.38"/>
    <col customWidth="1" min="9" max="9" width="28.75"/>
    <col customWidth="1" min="10" max="10" width="11.13"/>
    <col customWidth="1" min="11" max="26" width="11.0"/>
  </cols>
  <sheetData>
    <row r="1" ht="78.0" customHeight="1">
      <c r="A1" s="1"/>
    </row>
    <row r="2" ht="24.0" customHeight="1">
      <c r="A2" s="2" t="s">
        <v>0</v>
      </c>
      <c r="B2" s="3"/>
      <c r="C2" s="3"/>
      <c r="D2" s="3"/>
      <c r="E2" s="3"/>
      <c r="F2" s="3"/>
      <c r="G2" s="3"/>
      <c r="H2" s="3"/>
      <c r="I2" s="3"/>
      <c r="J2" s="4"/>
    </row>
    <row r="3" ht="10.5" customHeight="1">
      <c r="A3" s="5"/>
      <c r="B3" s="6"/>
      <c r="C3" s="6"/>
      <c r="D3" s="6"/>
      <c r="E3" s="6"/>
      <c r="F3" s="6"/>
      <c r="G3" s="6"/>
      <c r="H3" s="6"/>
      <c r="I3" s="6"/>
      <c r="J3" s="7"/>
    </row>
    <row r="4" ht="22.5" customHeight="1">
      <c r="A4" s="8" t="s">
        <v>1</v>
      </c>
      <c r="B4" s="9"/>
      <c r="C4" s="10" t="s">
        <v>2</v>
      </c>
      <c r="D4" s="11" t="s">
        <v>3</v>
      </c>
      <c r="E4" s="8" t="s">
        <v>4</v>
      </c>
      <c r="F4" s="12"/>
      <c r="G4" s="9"/>
      <c r="H4" s="13" t="s">
        <v>5</v>
      </c>
      <c r="I4" s="49" t="s">
        <v>6</v>
      </c>
      <c r="J4" s="9"/>
    </row>
    <row r="5" ht="22.5" customHeight="1">
      <c r="A5" s="8" t="s">
        <v>7</v>
      </c>
      <c r="B5" s="9"/>
      <c r="C5" s="15" t="s">
        <v>76</v>
      </c>
      <c r="D5" s="3"/>
      <c r="E5" s="3"/>
      <c r="F5" s="3"/>
      <c r="G5" s="3"/>
      <c r="H5" s="3"/>
      <c r="I5" s="3"/>
      <c r="J5" s="4"/>
    </row>
    <row r="6" ht="22.5" customHeight="1">
      <c r="A6" s="8" t="s">
        <v>9</v>
      </c>
      <c r="B6" s="9"/>
      <c r="C6" s="16">
        <v>46093.0</v>
      </c>
      <c r="D6" s="12"/>
      <c r="E6" s="12"/>
      <c r="F6" s="11" t="s">
        <v>10</v>
      </c>
      <c r="G6" s="16">
        <v>46093.0</v>
      </c>
      <c r="H6" s="12"/>
      <c r="I6" s="12"/>
      <c r="J6" s="17" t="s">
        <v>11</v>
      </c>
    </row>
    <row r="7" ht="22.5" customHeight="1">
      <c r="A7" s="18" t="s">
        <v>12</v>
      </c>
      <c r="B7" s="4"/>
      <c r="C7" s="19" t="s">
        <v>13</v>
      </c>
      <c r="D7" s="20" t="s">
        <v>14</v>
      </c>
      <c r="E7" s="7"/>
      <c r="F7" s="21" t="s">
        <v>15</v>
      </c>
      <c r="G7" s="7"/>
      <c r="H7" s="22" t="s">
        <v>16</v>
      </c>
      <c r="I7" s="20" t="s">
        <v>17</v>
      </c>
      <c r="J7" s="7"/>
    </row>
    <row r="8" ht="22.5" customHeight="1">
      <c r="A8" s="5"/>
      <c r="B8" s="7"/>
      <c r="C8" s="23"/>
      <c r="D8" s="11" t="s">
        <v>18</v>
      </c>
      <c r="E8" s="11" t="s">
        <v>19</v>
      </c>
      <c r="F8" s="11" t="s">
        <v>20</v>
      </c>
      <c r="G8" s="24" t="s">
        <v>19</v>
      </c>
      <c r="H8" s="24" t="s">
        <v>19</v>
      </c>
      <c r="I8" s="8" t="s">
        <v>21</v>
      </c>
      <c r="J8" s="9"/>
    </row>
    <row r="9">
      <c r="A9" s="16">
        <v>46093.0</v>
      </c>
      <c r="B9" s="12"/>
      <c r="C9" s="25" t="s">
        <v>42</v>
      </c>
      <c r="D9" s="26" t="s">
        <v>34</v>
      </c>
      <c r="E9" s="27">
        <v>449.0</v>
      </c>
      <c r="F9" s="28"/>
      <c r="G9" s="29"/>
      <c r="H9" s="30">
        <f>(G6-C6+1)*700*I15</f>
        <v>1400</v>
      </c>
      <c r="I9" s="31" t="s">
        <v>24</v>
      </c>
      <c r="J9" s="9"/>
    </row>
    <row r="10">
      <c r="A10" s="16">
        <v>46093.0</v>
      </c>
      <c r="B10" s="12"/>
      <c r="C10" s="25" t="s">
        <v>44</v>
      </c>
      <c r="D10" s="26" t="s">
        <v>34</v>
      </c>
      <c r="E10" s="27">
        <v>434.0</v>
      </c>
      <c r="F10" s="32"/>
      <c r="G10" s="29"/>
      <c r="H10" s="33"/>
      <c r="I10" s="31" t="s">
        <v>24</v>
      </c>
      <c r="J10" s="9"/>
    </row>
    <row r="11">
      <c r="A11" s="16"/>
      <c r="B11" s="12"/>
      <c r="C11" s="25"/>
      <c r="D11" s="26"/>
      <c r="E11" s="27"/>
      <c r="F11" s="32"/>
      <c r="G11" s="29"/>
      <c r="H11" s="33"/>
      <c r="I11" s="31"/>
      <c r="J11" s="9"/>
    </row>
    <row r="12">
      <c r="A12" s="16"/>
      <c r="B12" s="12"/>
      <c r="C12" s="25"/>
      <c r="D12" s="26"/>
      <c r="E12" s="27"/>
      <c r="F12" s="32"/>
      <c r="G12" s="29"/>
      <c r="H12" s="33"/>
      <c r="I12" s="31"/>
      <c r="J12" s="9"/>
    </row>
    <row r="13">
      <c r="A13" s="16"/>
      <c r="B13" s="12"/>
      <c r="C13" s="25"/>
      <c r="D13" s="26"/>
      <c r="E13" s="27"/>
      <c r="F13" s="32"/>
      <c r="G13" s="29"/>
      <c r="H13" s="33"/>
      <c r="I13" s="31"/>
      <c r="J13" s="9"/>
    </row>
    <row r="14">
      <c r="A14" s="16"/>
      <c r="B14" s="12"/>
      <c r="C14" s="25"/>
      <c r="D14" s="26"/>
      <c r="E14" s="27"/>
      <c r="F14" s="32"/>
      <c r="G14" s="29"/>
      <c r="H14" s="33"/>
      <c r="I14" s="31"/>
      <c r="J14" s="9"/>
    </row>
    <row r="15" ht="20.25" customHeight="1">
      <c r="A15" s="34"/>
      <c r="B15" s="12"/>
      <c r="C15" s="35"/>
      <c r="D15" s="26"/>
      <c r="E15" s="29"/>
      <c r="F15" s="28"/>
      <c r="G15" s="29"/>
      <c r="H15" s="33"/>
      <c r="I15" s="31">
        <v>2.0</v>
      </c>
      <c r="J15" s="36" t="s">
        <v>26</v>
      </c>
    </row>
    <row r="16" ht="22.5" customHeight="1">
      <c r="A16" s="37" t="s">
        <v>27</v>
      </c>
      <c r="B16" s="12"/>
      <c r="C16" s="9"/>
      <c r="D16" s="38"/>
      <c r="E16" s="39">
        <f>SUM(E9:E15)</f>
        <v>883</v>
      </c>
      <c r="F16" s="38"/>
      <c r="G16" s="39">
        <f>SUM(G9:G15)</f>
        <v>0</v>
      </c>
      <c r="H16" s="39">
        <f>sum(H9:H15)</f>
        <v>1400</v>
      </c>
      <c r="I16" s="40">
        <f>SUM(E16:H16)</f>
        <v>2283</v>
      </c>
      <c r="J16" s="9"/>
    </row>
    <row r="17" ht="8.2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</row>
    <row r="18" ht="21.0" customHeight="1">
      <c r="A18" s="42" t="s">
        <v>28</v>
      </c>
      <c r="C18" s="43"/>
      <c r="D18" s="42" t="s">
        <v>29</v>
      </c>
      <c r="E18" s="43"/>
      <c r="F18" s="44" t="s">
        <v>30</v>
      </c>
      <c r="G18" s="43"/>
      <c r="H18" s="43"/>
      <c r="I18" s="45" t="s">
        <v>31</v>
      </c>
      <c r="J18" s="43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9.5" customHeight="1">
      <c r="A19" s="47"/>
      <c r="B19" s="47"/>
      <c r="C19" s="47"/>
      <c r="D19" s="47"/>
      <c r="E19" s="47"/>
      <c r="F19" s="47"/>
      <c r="G19" s="47"/>
      <c r="H19" s="47"/>
      <c r="I19" s="47"/>
      <c r="J19" s="47"/>
    </row>
    <row r="20" ht="12.75" customHeight="1">
      <c r="I20" s="48"/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33">
    <mergeCell ref="A1:J1"/>
    <mergeCell ref="A2:J3"/>
    <mergeCell ref="A4:B4"/>
    <mergeCell ref="E4:G4"/>
    <mergeCell ref="I4:J4"/>
    <mergeCell ref="A5:B5"/>
    <mergeCell ref="C5:J5"/>
    <mergeCell ref="A6:B6"/>
    <mergeCell ref="C6:E6"/>
    <mergeCell ref="G6:I6"/>
    <mergeCell ref="A7:B8"/>
    <mergeCell ref="C7:C8"/>
    <mergeCell ref="D7:E7"/>
    <mergeCell ref="F7:G7"/>
    <mergeCell ref="I13:J13"/>
    <mergeCell ref="I14:J14"/>
    <mergeCell ref="I7:J7"/>
    <mergeCell ref="I8:J8"/>
    <mergeCell ref="H9:H15"/>
    <mergeCell ref="I9:J9"/>
    <mergeCell ref="I10:J10"/>
    <mergeCell ref="I11:J11"/>
    <mergeCell ref="I12:J12"/>
    <mergeCell ref="I16:J16"/>
    <mergeCell ref="A16:C16"/>
    <mergeCell ref="A18:B18"/>
    <mergeCell ref="A9:B9"/>
    <mergeCell ref="A10:B10"/>
    <mergeCell ref="A11:B11"/>
    <mergeCell ref="A12:B12"/>
    <mergeCell ref="A13:B13"/>
    <mergeCell ref="A14:B14"/>
    <mergeCell ref="A15:B15"/>
  </mergeCells>
  <dataValidations>
    <dataValidation type="list" allowBlank="1" showErrorMessage="1" sqref="D9:D15">
      <formula1>"高鐵,計程車,台鐵,捷運,自行開車"</formula1>
    </dataValidation>
    <dataValidation type="list" allowBlank="1" showErrorMessage="1" sqref="E4">
      <formula1>"總公司,嶼嶼行銷,影音部"</formula1>
    </dataValidation>
    <dataValidation type="custom" allowBlank="1" showDropDown="1" showInputMessage="1" showErrorMessage="1" prompt="輸入有效日期" sqref="C6 G6 A9:A15">
      <formula1>OR(NOT(ISERROR(DATEVALUE(A6))), AND(ISNUMBER(A6), LEFT(CELL("format", A6))="D"))</formula1>
    </dataValidation>
  </dataValidations>
  <printOptions horizontalCentered="1"/>
  <pageMargins bottom="0.75" footer="0.0" header="0.0" left="0.25" right="0.25" top="0.75"/>
  <pageSetup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7.38"/>
    <col customWidth="1" min="3" max="3" width="15.88"/>
    <col customWidth="1" min="4" max="4" width="15.25"/>
    <col customWidth="1" min="5" max="5" width="9.38"/>
    <col customWidth="1" min="6" max="6" width="14.88"/>
    <col customWidth="1" min="7" max="7" width="10.38"/>
    <col customWidth="1" min="8" max="8" width="13.38"/>
    <col customWidth="1" min="9" max="9" width="28.75"/>
    <col customWidth="1" min="10" max="10" width="11.13"/>
    <col customWidth="1" min="11" max="26" width="11.0"/>
  </cols>
  <sheetData>
    <row r="1" ht="78.0" customHeight="1">
      <c r="A1" s="1"/>
    </row>
    <row r="2" ht="24.0" customHeight="1">
      <c r="A2" s="2" t="s">
        <v>0</v>
      </c>
      <c r="B2" s="3"/>
      <c r="C2" s="3"/>
      <c r="D2" s="3"/>
      <c r="E2" s="3"/>
      <c r="F2" s="3"/>
      <c r="G2" s="3"/>
      <c r="H2" s="3"/>
      <c r="I2" s="3"/>
      <c r="J2" s="4"/>
    </row>
    <row r="3" ht="10.5" customHeight="1">
      <c r="A3" s="5"/>
      <c r="B3" s="6"/>
      <c r="C3" s="6"/>
      <c r="D3" s="6"/>
      <c r="E3" s="6"/>
      <c r="F3" s="6"/>
      <c r="G3" s="6"/>
      <c r="H3" s="6"/>
      <c r="I3" s="6"/>
      <c r="J3" s="7"/>
    </row>
    <row r="4" ht="22.5" customHeight="1">
      <c r="A4" s="8" t="s">
        <v>1</v>
      </c>
      <c r="B4" s="9"/>
      <c r="C4" s="10" t="s">
        <v>2</v>
      </c>
      <c r="D4" s="11" t="s">
        <v>3</v>
      </c>
      <c r="E4" s="8" t="s">
        <v>4</v>
      </c>
      <c r="F4" s="12"/>
      <c r="G4" s="9"/>
      <c r="H4" s="13" t="s">
        <v>5</v>
      </c>
      <c r="I4" s="49" t="s">
        <v>6</v>
      </c>
      <c r="J4" s="9"/>
    </row>
    <row r="5" ht="22.5" customHeight="1">
      <c r="A5" s="8" t="s">
        <v>7</v>
      </c>
      <c r="B5" s="9"/>
      <c r="C5" s="15" t="s">
        <v>77</v>
      </c>
      <c r="D5" s="3"/>
      <c r="E5" s="3"/>
      <c r="F5" s="3"/>
      <c r="G5" s="3"/>
      <c r="H5" s="3"/>
      <c r="I5" s="3"/>
      <c r="J5" s="4"/>
    </row>
    <row r="6" ht="22.5" customHeight="1">
      <c r="A6" s="8" t="s">
        <v>9</v>
      </c>
      <c r="B6" s="9"/>
      <c r="C6" s="16">
        <v>46097.0</v>
      </c>
      <c r="D6" s="12"/>
      <c r="E6" s="12"/>
      <c r="F6" s="11" t="s">
        <v>10</v>
      </c>
      <c r="G6" s="16">
        <v>46097.0</v>
      </c>
      <c r="H6" s="12"/>
      <c r="I6" s="12"/>
      <c r="J6" s="17" t="s">
        <v>11</v>
      </c>
    </row>
    <row r="7" ht="22.5" customHeight="1">
      <c r="A7" s="18" t="s">
        <v>12</v>
      </c>
      <c r="B7" s="4"/>
      <c r="C7" s="19" t="s">
        <v>13</v>
      </c>
      <c r="D7" s="20" t="s">
        <v>14</v>
      </c>
      <c r="E7" s="7"/>
      <c r="F7" s="21" t="s">
        <v>15</v>
      </c>
      <c r="G7" s="7"/>
      <c r="H7" s="22" t="s">
        <v>16</v>
      </c>
      <c r="I7" s="20" t="s">
        <v>17</v>
      </c>
      <c r="J7" s="7"/>
    </row>
    <row r="8" ht="22.5" customHeight="1">
      <c r="A8" s="5"/>
      <c r="B8" s="7"/>
      <c r="C8" s="23"/>
      <c r="D8" s="11" t="s">
        <v>18</v>
      </c>
      <c r="E8" s="11" t="s">
        <v>19</v>
      </c>
      <c r="F8" s="11" t="s">
        <v>20</v>
      </c>
      <c r="G8" s="24" t="s">
        <v>19</v>
      </c>
      <c r="H8" s="24" t="s">
        <v>19</v>
      </c>
      <c r="I8" s="8" t="s">
        <v>21</v>
      </c>
      <c r="J8" s="9"/>
    </row>
    <row r="9">
      <c r="A9" s="16">
        <v>46097.0</v>
      </c>
      <c r="B9" s="12"/>
      <c r="C9" s="25" t="s">
        <v>78</v>
      </c>
      <c r="D9" s="26" t="s">
        <v>23</v>
      </c>
      <c r="E9" s="27">
        <f>7.9*8</f>
        <v>63.2</v>
      </c>
      <c r="F9" s="28"/>
      <c r="G9" s="29"/>
      <c r="H9" s="30">
        <f>(G6-C6+1)*700*I15</f>
        <v>1400</v>
      </c>
      <c r="I9" s="31" t="s">
        <v>50</v>
      </c>
      <c r="J9" s="9"/>
    </row>
    <row r="10">
      <c r="A10" s="16">
        <v>46097.0</v>
      </c>
      <c r="B10" s="12"/>
      <c r="C10" s="25" t="s">
        <v>79</v>
      </c>
      <c r="D10" s="26" t="s">
        <v>23</v>
      </c>
      <c r="E10" s="27">
        <f>64.3*8</f>
        <v>514.4</v>
      </c>
      <c r="F10" s="32"/>
      <c r="G10" s="29"/>
      <c r="H10" s="33"/>
      <c r="I10" s="31" t="s">
        <v>50</v>
      </c>
      <c r="J10" s="9"/>
    </row>
    <row r="11">
      <c r="A11" s="16">
        <v>46097.0</v>
      </c>
      <c r="B11" s="12"/>
      <c r="C11" s="25" t="s">
        <v>80</v>
      </c>
      <c r="D11" s="26" t="s">
        <v>23</v>
      </c>
      <c r="E11" s="27">
        <f>4*8</f>
        <v>32</v>
      </c>
      <c r="F11" s="32"/>
      <c r="G11" s="29"/>
      <c r="H11" s="33"/>
      <c r="I11" s="31" t="s">
        <v>50</v>
      </c>
      <c r="J11" s="9"/>
    </row>
    <row r="12">
      <c r="A12" s="16">
        <v>46097.0</v>
      </c>
      <c r="B12" s="12"/>
      <c r="C12" s="25" t="s">
        <v>81</v>
      </c>
      <c r="D12" s="26" t="s">
        <v>23</v>
      </c>
      <c r="E12" s="27">
        <f>63.2*8</f>
        <v>505.6</v>
      </c>
      <c r="F12" s="32"/>
      <c r="G12" s="29"/>
      <c r="H12" s="33"/>
      <c r="I12" s="31" t="s">
        <v>50</v>
      </c>
      <c r="J12" s="9"/>
    </row>
    <row r="13">
      <c r="A13" s="16">
        <v>46097.0</v>
      </c>
      <c r="B13" s="12"/>
      <c r="C13" s="25" t="s">
        <v>82</v>
      </c>
      <c r="D13" s="26" t="s">
        <v>23</v>
      </c>
      <c r="E13" s="27">
        <f>8.4*8</f>
        <v>67.2</v>
      </c>
      <c r="F13" s="32"/>
      <c r="G13" s="29"/>
      <c r="H13" s="33"/>
      <c r="I13" s="31" t="s">
        <v>50</v>
      </c>
      <c r="J13" s="9"/>
    </row>
    <row r="14">
      <c r="A14" s="16">
        <v>46097.0</v>
      </c>
      <c r="B14" s="12"/>
      <c r="C14" s="25" t="s">
        <v>40</v>
      </c>
      <c r="D14" s="26" t="s">
        <v>23</v>
      </c>
      <c r="E14" s="27">
        <v>92.0</v>
      </c>
      <c r="F14" s="32"/>
      <c r="G14" s="29"/>
      <c r="H14" s="33"/>
      <c r="I14" s="31" t="s">
        <v>50</v>
      </c>
      <c r="J14" s="9"/>
    </row>
    <row r="15" ht="20.25" customHeight="1">
      <c r="A15" s="34"/>
      <c r="B15" s="12"/>
      <c r="C15" s="35"/>
      <c r="D15" s="26"/>
      <c r="E15" s="29"/>
      <c r="F15" s="28"/>
      <c r="G15" s="29"/>
      <c r="H15" s="33"/>
      <c r="I15" s="31">
        <v>2.0</v>
      </c>
      <c r="J15" s="36" t="s">
        <v>26</v>
      </c>
    </row>
    <row r="16" ht="22.5" customHeight="1">
      <c r="A16" s="37" t="s">
        <v>27</v>
      </c>
      <c r="B16" s="12"/>
      <c r="C16" s="9"/>
      <c r="D16" s="38"/>
      <c r="E16" s="39">
        <f>SUM(E9:E15)</f>
        <v>1274.4</v>
      </c>
      <c r="F16" s="38"/>
      <c r="G16" s="39">
        <f>SUM(G9:G15)</f>
        <v>0</v>
      </c>
      <c r="H16" s="39">
        <f>sum(H9:H15)</f>
        <v>1400</v>
      </c>
      <c r="I16" s="40">
        <f>SUM(E16:H16)</f>
        <v>2674.4</v>
      </c>
      <c r="J16" s="9"/>
    </row>
    <row r="17" ht="8.2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</row>
    <row r="18" ht="21.0" customHeight="1">
      <c r="A18" s="42" t="s">
        <v>28</v>
      </c>
      <c r="C18" s="43"/>
      <c r="D18" s="42" t="s">
        <v>29</v>
      </c>
      <c r="E18" s="43"/>
      <c r="F18" s="44" t="s">
        <v>30</v>
      </c>
      <c r="G18" s="43"/>
      <c r="H18" s="43"/>
      <c r="I18" s="45" t="s">
        <v>31</v>
      </c>
      <c r="J18" s="43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9.5" customHeight="1">
      <c r="A19" s="47"/>
      <c r="B19" s="47"/>
      <c r="C19" s="47"/>
      <c r="D19" s="47"/>
      <c r="E19" s="47"/>
      <c r="F19" s="47"/>
      <c r="G19" s="47"/>
      <c r="H19" s="47"/>
      <c r="I19" s="47"/>
      <c r="J19" s="47"/>
    </row>
    <row r="20" ht="12.75" customHeight="1">
      <c r="I20" s="48"/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33">
    <mergeCell ref="A1:J1"/>
    <mergeCell ref="A2:J3"/>
    <mergeCell ref="A4:B4"/>
    <mergeCell ref="E4:G4"/>
    <mergeCell ref="I4:J4"/>
    <mergeCell ref="A5:B5"/>
    <mergeCell ref="C5:J5"/>
    <mergeCell ref="A6:B6"/>
    <mergeCell ref="C6:E6"/>
    <mergeCell ref="G6:I6"/>
    <mergeCell ref="A7:B8"/>
    <mergeCell ref="C7:C8"/>
    <mergeCell ref="D7:E7"/>
    <mergeCell ref="F7:G7"/>
    <mergeCell ref="I13:J13"/>
    <mergeCell ref="I14:J14"/>
    <mergeCell ref="I7:J7"/>
    <mergeCell ref="I8:J8"/>
    <mergeCell ref="H9:H15"/>
    <mergeCell ref="I9:J9"/>
    <mergeCell ref="I10:J10"/>
    <mergeCell ref="I11:J11"/>
    <mergeCell ref="I12:J12"/>
    <mergeCell ref="I16:J16"/>
    <mergeCell ref="A16:C16"/>
    <mergeCell ref="A18:B18"/>
    <mergeCell ref="A9:B9"/>
    <mergeCell ref="A10:B10"/>
    <mergeCell ref="A11:B11"/>
    <mergeCell ref="A12:B12"/>
    <mergeCell ref="A13:B13"/>
    <mergeCell ref="A14:B14"/>
    <mergeCell ref="A15:B15"/>
  </mergeCells>
  <dataValidations>
    <dataValidation type="list" allowBlank="1" showErrorMessage="1" sqref="D9:D15">
      <formula1>"高鐵,計程車,台鐵,捷運,自行開車"</formula1>
    </dataValidation>
    <dataValidation type="list" allowBlank="1" showErrorMessage="1" sqref="E4">
      <formula1>"總公司,嶼嶼行銷,影音部"</formula1>
    </dataValidation>
    <dataValidation type="custom" allowBlank="1" showDropDown="1" showInputMessage="1" showErrorMessage="1" prompt="輸入有效日期" sqref="C6 G6 A9:A15">
      <formula1>OR(NOT(ISERROR(DATEVALUE(A6))), AND(ISNUMBER(A6), LEFT(CELL("format", A6))="D"))</formula1>
    </dataValidation>
  </dataValidations>
  <printOptions horizontalCentered="1"/>
  <pageMargins bottom="0.75" footer="0.0" header="0.0" left="0.25" right="0.25" top="0.75"/>
  <pageSetup paperSize="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7.38"/>
    <col customWidth="1" min="3" max="3" width="15.88"/>
    <col customWidth="1" min="4" max="4" width="15.25"/>
    <col customWidth="1" min="5" max="5" width="9.38"/>
    <col customWidth="1" min="6" max="6" width="14.88"/>
    <col customWidth="1" min="7" max="7" width="10.38"/>
    <col customWidth="1" min="8" max="8" width="13.38"/>
    <col customWidth="1" min="9" max="9" width="28.75"/>
    <col customWidth="1" min="10" max="10" width="11.13"/>
    <col customWidth="1" min="11" max="26" width="11.0"/>
  </cols>
  <sheetData>
    <row r="1" ht="78.0" customHeight="1">
      <c r="A1" s="1"/>
    </row>
    <row r="2" ht="24.0" customHeight="1">
      <c r="A2" s="2" t="s">
        <v>0</v>
      </c>
      <c r="B2" s="3"/>
      <c r="C2" s="3"/>
      <c r="D2" s="3"/>
      <c r="E2" s="3"/>
      <c r="F2" s="3"/>
      <c r="G2" s="3"/>
      <c r="H2" s="3"/>
      <c r="I2" s="3"/>
      <c r="J2" s="4"/>
    </row>
    <row r="3" ht="10.5" customHeight="1">
      <c r="A3" s="5"/>
      <c r="B3" s="6"/>
      <c r="C3" s="6"/>
      <c r="D3" s="6"/>
      <c r="E3" s="6"/>
      <c r="F3" s="6"/>
      <c r="G3" s="6"/>
      <c r="H3" s="6"/>
      <c r="I3" s="6"/>
      <c r="J3" s="7"/>
    </row>
    <row r="4" ht="22.5" customHeight="1">
      <c r="A4" s="8" t="s">
        <v>1</v>
      </c>
      <c r="B4" s="9"/>
      <c r="C4" s="10" t="s">
        <v>2</v>
      </c>
      <c r="D4" s="11" t="s">
        <v>3</v>
      </c>
      <c r="E4" s="8" t="s">
        <v>4</v>
      </c>
      <c r="F4" s="12"/>
      <c r="G4" s="9"/>
      <c r="H4" s="13" t="s">
        <v>5</v>
      </c>
      <c r="I4" s="14" t="s">
        <v>6</v>
      </c>
      <c r="J4" s="9"/>
    </row>
    <row r="5" ht="22.5" customHeight="1">
      <c r="A5" s="8" t="s">
        <v>7</v>
      </c>
      <c r="B5" s="9"/>
      <c r="C5" s="15" t="s">
        <v>70</v>
      </c>
      <c r="D5" s="3"/>
      <c r="E5" s="3"/>
      <c r="F5" s="3"/>
      <c r="G5" s="3"/>
      <c r="H5" s="3"/>
      <c r="I5" s="3"/>
      <c r="J5" s="4"/>
    </row>
    <row r="6" ht="22.5" customHeight="1">
      <c r="A6" s="8" t="s">
        <v>9</v>
      </c>
      <c r="B6" s="9"/>
      <c r="C6" s="16">
        <v>46098.0</v>
      </c>
      <c r="D6" s="12"/>
      <c r="E6" s="12"/>
      <c r="F6" s="11" t="s">
        <v>10</v>
      </c>
      <c r="G6" s="16">
        <v>46098.0</v>
      </c>
      <c r="H6" s="12"/>
      <c r="I6" s="12"/>
      <c r="J6" s="17" t="s">
        <v>11</v>
      </c>
    </row>
    <row r="7" ht="22.5" customHeight="1">
      <c r="A7" s="18" t="s">
        <v>12</v>
      </c>
      <c r="B7" s="4"/>
      <c r="C7" s="19" t="s">
        <v>13</v>
      </c>
      <c r="D7" s="20" t="s">
        <v>14</v>
      </c>
      <c r="E7" s="7"/>
      <c r="F7" s="21" t="s">
        <v>15</v>
      </c>
      <c r="G7" s="7"/>
      <c r="H7" s="22" t="s">
        <v>16</v>
      </c>
      <c r="I7" s="20" t="s">
        <v>17</v>
      </c>
      <c r="J7" s="7"/>
    </row>
    <row r="8" ht="22.5" customHeight="1">
      <c r="A8" s="5"/>
      <c r="B8" s="7"/>
      <c r="C8" s="23"/>
      <c r="D8" s="11" t="s">
        <v>18</v>
      </c>
      <c r="E8" s="11" t="s">
        <v>19</v>
      </c>
      <c r="F8" s="11" t="s">
        <v>20</v>
      </c>
      <c r="G8" s="24" t="s">
        <v>19</v>
      </c>
      <c r="H8" s="24" t="s">
        <v>19</v>
      </c>
      <c r="I8" s="8" t="s">
        <v>21</v>
      </c>
      <c r="J8" s="9"/>
    </row>
    <row r="9">
      <c r="A9" s="16">
        <v>46098.0</v>
      </c>
      <c r="B9" s="12"/>
      <c r="C9" s="25" t="s">
        <v>71</v>
      </c>
      <c r="D9" s="26" t="s">
        <v>34</v>
      </c>
      <c r="E9" s="27">
        <v>182.0</v>
      </c>
      <c r="F9" s="28"/>
      <c r="G9" s="29"/>
      <c r="H9" s="30">
        <f>(G6-C6+1)*700*I15</f>
        <v>1400</v>
      </c>
      <c r="I9" s="31" t="s">
        <v>72</v>
      </c>
      <c r="J9" s="9"/>
    </row>
    <row r="10">
      <c r="A10" s="16">
        <v>46098.0</v>
      </c>
      <c r="B10" s="12"/>
      <c r="C10" s="25" t="s">
        <v>73</v>
      </c>
      <c r="D10" s="26" t="s">
        <v>34</v>
      </c>
      <c r="E10" s="27">
        <v>191.0</v>
      </c>
      <c r="F10" s="32"/>
      <c r="G10" s="29"/>
      <c r="H10" s="33"/>
      <c r="I10" s="31" t="s">
        <v>72</v>
      </c>
      <c r="J10" s="9"/>
    </row>
    <row r="11">
      <c r="A11" s="16"/>
      <c r="B11" s="12"/>
      <c r="C11" s="25"/>
      <c r="D11" s="26"/>
      <c r="E11" s="27"/>
      <c r="F11" s="32"/>
      <c r="G11" s="29"/>
      <c r="H11" s="33"/>
      <c r="I11" s="31"/>
      <c r="J11" s="9"/>
    </row>
    <row r="12">
      <c r="A12" s="16"/>
      <c r="B12" s="12"/>
      <c r="C12" s="25"/>
      <c r="D12" s="26"/>
      <c r="E12" s="27"/>
      <c r="F12" s="32"/>
      <c r="G12" s="29"/>
      <c r="H12" s="33"/>
      <c r="I12" s="31"/>
      <c r="J12" s="9"/>
    </row>
    <row r="13">
      <c r="A13" s="16"/>
      <c r="B13" s="12"/>
      <c r="C13" s="25"/>
      <c r="D13" s="26"/>
      <c r="E13" s="27"/>
      <c r="F13" s="32"/>
      <c r="G13" s="29"/>
      <c r="H13" s="33"/>
      <c r="I13" s="31"/>
      <c r="J13" s="9"/>
    </row>
    <row r="14">
      <c r="A14" s="16"/>
      <c r="B14" s="12"/>
      <c r="C14" s="25"/>
      <c r="D14" s="26"/>
      <c r="E14" s="27"/>
      <c r="F14" s="32"/>
      <c r="G14" s="29"/>
      <c r="H14" s="33"/>
      <c r="I14" s="31"/>
      <c r="J14" s="9"/>
    </row>
    <row r="15" ht="20.25" customHeight="1">
      <c r="A15" s="34"/>
      <c r="B15" s="12"/>
      <c r="C15" s="35"/>
      <c r="D15" s="26"/>
      <c r="E15" s="29"/>
      <c r="F15" s="28"/>
      <c r="G15" s="29"/>
      <c r="H15" s="33"/>
      <c r="I15" s="31">
        <v>2.0</v>
      </c>
      <c r="J15" s="36" t="s">
        <v>26</v>
      </c>
    </row>
    <row r="16" ht="22.5" customHeight="1">
      <c r="A16" s="37" t="s">
        <v>27</v>
      </c>
      <c r="B16" s="12"/>
      <c r="C16" s="9"/>
      <c r="D16" s="38"/>
      <c r="E16" s="39">
        <f>SUM(E9:E15)</f>
        <v>373</v>
      </c>
      <c r="F16" s="38"/>
      <c r="G16" s="39">
        <f>SUM(G9:G15)</f>
        <v>0</v>
      </c>
      <c r="H16" s="39">
        <f>sum(H9:H15)</f>
        <v>1400</v>
      </c>
      <c r="I16" s="40">
        <f>SUM(E16:H16)</f>
        <v>1773</v>
      </c>
      <c r="J16" s="9"/>
    </row>
    <row r="17" ht="8.2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</row>
    <row r="18" ht="21.0" customHeight="1">
      <c r="A18" s="42" t="s">
        <v>28</v>
      </c>
      <c r="C18" s="43"/>
      <c r="D18" s="42" t="s">
        <v>29</v>
      </c>
      <c r="E18" s="43"/>
      <c r="F18" s="44" t="s">
        <v>30</v>
      </c>
      <c r="G18" s="43"/>
      <c r="H18" s="43"/>
      <c r="I18" s="45" t="s">
        <v>31</v>
      </c>
      <c r="J18" s="43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9.5" customHeight="1">
      <c r="A19" s="47"/>
      <c r="B19" s="47"/>
      <c r="C19" s="47"/>
      <c r="D19" s="47"/>
      <c r="E19" s="47"/>
      <c r="F19" s="47"/>
      <c r="G19" s="47"/>
      <c r="H19" s="47"/>
      <c r="I19" s="47"/>
      <c r="J19" s="47"/>
    </row>
    <row r="20" ht="12.75" customHeight="1">
      <c r="I20" s="48"/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33">
    <mergeCell ref="A1:J1"/>
    <mergeCell ref="A2:J3"/>
    <mergeCell ref="A4:B4"/>
    <mergeCell ref="E4:G4"/>
    <mergeCell ref="I4:J4"/>
    <mergeCell ref="A5:B5"/>
    <mergeCell ref="C5:J5"/>
    <mergeCell ref="A6:B6"/>
    <mergeCell ref="C6:E6"/>
    <mergeCell ref="G6:I6"/>
    <mergeCell ref="A7:B8"/>
    <mergeCell ref="C7:C8"/>
    <mergeCell ref="D7:E7"/>
    <mergeCell ref="F7:G7"/>
    <mergeCell ref="I13:J13"/>
    <mergeCell ref="I14:J14"/>
    <mergeCell ref="I7:J7"/>
    <mergeCell ref="I8:J8"/>
    <mergeCell ref="H9:H15"/>
    <mergeCell ref="I9:J9"/>
    <mergeCell ref="I10:J10"/>
    <mergeCell ref="I11:J11"/>
    <mergeCell ref="I12:J12"/>
    <mergeCell ref="I16:J16"/>
    <mergeCell ref="A16:C16"/>
    <mergeCell ref="A18:B18"/>
    <mergeCell ref="A9:B9"/>
    <mergeCell ref="A10:B10"/>
    <mergeCell ref="A11:B11"/>
    <mergeCell ref="A12:B12"/>
    <mergeCell ref="A13:B13"/>
    <mergeCell ref="A14:B14"/>
    <mergeCell ref="A15:B15"/>
  </mergeCells>
  <dataValidations>
    <dataValidation type="list" allowBlank="1" showErrorMessage="1" sqref="D9:D15">
      <formula1>"高鐵,計程車,台鐵,捷運,自行開車"</formula1>
    </dataValidation>
    <dataValidation type="list" allowBlank="1" showErrorMessage="1" sqref="E4">
      <formula1>"總公司,嶼嶼行銷,影音部"</formula1>
    </dataValidation>
    <dataValidation type="custom" allowBlank="1" showDropDown="1" showInputMessage="1" showErrorMessage="1" prompt="輸入有效日期" sqref="C6 G6 A9:A15">
      <formula1>OR(NOT(ISERROR(DATEVALUE(A6))), AND(ISNUMBER(A6), LEFT(CELL("format", A6))="D"))</formula1>
    </dataValidation>
  </dataValidations>
  <printOptions horizontalCentered="1"/>
  <pageMargins bottom="0.75" footer="0.0" header="0.0" left="0.25" right="0.25" top="0.75"/>
  <pageSetup paperSize="9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7.38"/>
    <col customWidth="1" min="3" max="3" width="15.88"/>
    <col customWidth="1" min="4" max="4" width="15.25"/>
    <col customWidth="1" min="5" max="5" width="9.38"/>
    <col customWidth="1" min="6" max="6" width="14.88"/>
    <col customWidth="1" min="7" max="7" width="10.38"/>
    <col customWidth="1" min="8" max="8" width="13.38"/>
    <col customWidth="1" min="9" max="9" width="28.75"/>
    <col customWidth="1" min="10" max="10" width="11.13"/>
    <col customWidth="1" min="11" max="26" width="11.0"/>
  </cols>
  <sheetData>
    <row r="1" ht="78.0" customHeight="1">
      <c r="A1" s="1"/>
    </row>
    <row r="2" ht="24.0" customHeight="1">
      <c r="A2" s="2" t="s">
        <v>0</v>
      </c>
      <c r="B2" s="3"/>
      <c r="C2" s="3"/>
      <c r="D2" s="3"/>
      <c r="E2" s="3"/>
      <c r="F2" s="3"/>
      <c r="G2" s="3"/>
      <c r="H2" s="3"/>
      <c r="I2" s="3"/>
      <c r="J2" s="4"/>
    </row>
    <row r="3" ht="10.5" customHeight="1">
      <c r="A3" s="5"/>
      <c r="B3" s="6"/>
      <c r="C3" s="6"/>
      <c r="D3" s="6"/>
      <c r="E3" s="6"/>
      <c r="F3" s="6"/>
      <c r="G3" s="6"/>
      <c r="H3" s="6"/>
      <c r="I3" s="6"/>
      <c r="J3" s="7"/>
    </row>
    <row r="4" ht="22.5" customHeight="1">
      <c r="A4" s="8" t="s">
        <v>1</v>
      </c>
      <c r="B4" s="9"/>
      <c r="C4" s="10" t="s">
        <v>2</v>
      </c>
      <c r="D4" s="11" t="s">
        <v>3</v>
      </c>
      <c r="E4" s="8" t="s">
        <v>4</v>
      </c>
      <c r="F4" s="12"/>
      <c r="G4" s="9"/>
      <c r="H4" s="13" t="s">
        <v>5</v>
      </c>
      <c r="I4" s="14" t="s">
        <v>6</v>
      </c>
      <c r="J4" s="9"/>
    </row>
    <row r="5" ht="22.5" customHeight="1">
      <c r="A5" s="8" t="s">
        <v>7</v>
      </c>
      <c r="B5" s="9"/>
      <c r="C5" s="15" t="s">
        <v>63</v>
      </c>
      <c r="D5" s="3"/>
      <c r="E5" s="3"/>
      <c r="F5" s="3"/>
      <c r="G5" s="3"/>
      <c r="H5" s="3"/>
      <c r="I5" s="3"/>
      <c r="J5" s="4"/>
    </row>
    <row r="6" ht="22.5" customHeight="1">
      <c r="A6" s="8" t="s">
        <v>9</v>
      </c>
      <c r="B6" s="9"/>
      <c r="C6" s="16">
        <v>46101.0</v>
      </c>
      <c r="D6" s="12"/>
      <c r="E6" s="12"/>
      <c r="F6" s="11" t="s">
        <v>10</v>
      </c>
      <c r="G6" s="16">
        <v>46101.0</v>
      </c>
      <c r="H6" s="12"/>
      <c r="I6" s="12"/>
      <c r="J6" s="17" t="s">
        <v>11</v>
      </c>
    </row>
    <row r="7" ht="22.5" customHeight="1">
      <c r="A7" s="18" t="s">
        <v>12</v>
      </c>
      <c r="B7" s="4"/>
      <c r="C7" s="19" t="s">
        <v>13</v>
      </c>
      <c r="D7" s="20" t="s">
        <v>14</v>
      </c>
      <c r="E7" s="7"/>
      <c r="F7" s="21" t="s">
        <v>15</v>
      </c>
      <c r="G7" s="7"/>
      <c r="H7" s="22" t="s">
        <v>16</v>
      </c>
      <c r="I7" s="20" t="s">
        <v>17</v>
      </c>
      <c r="J7" s="7"/>
    </row>
    <row r="8" ht="22.5" customHeight="1">
      <c r="A8" s="5"/>
      <c r="B8" s="7"/>
      <c r="C8" s="23"/>
      <c r="D8" s="11" t="s">
        <v>18</v>
      </c>
      <c r="E8" s="11" t="s">
        <v>19</v>
      </c>
      <c r="F8" s="11" t="s">
        <v>20</v>
      </c>
      <c r="G8" s="24" t="s">
        <v>19</v>
      </c>
      <c r="H8" s="24" t="s">
        <v>19</v>
      </c>
      <c r="I8" s="8" t="s">
        <v>21</v>
      </c>
      <c r="J8" s="9"/>
    </row>
    <row r="9">
      <c r="A9" s="16">
        <v>46101.0</v>
      </c>
      <c r="B9" s="12"/>
      <c r="C9" s="25" t="s">
        <v>71</v>
      </c>
      <c r="D9" s="26" t="s">
        <v>34</v>
      </c>
      <c r="E9" s="27">
        <v>185.0</v>
      </c>
      <c r="F9" s="28"/>
      <c r="G9" s="29"/>
      <c r="H9" s="30">
        <f>(G6-C6+1)*700*I15</f>
        <v>1400</v>
      </c>
      <c r="I9" s="31" t="s">
        <v>83</v>
      </c>
      <c r="J9" s="9"/>
    </row>
    <row r="10">
      <c r="A10" s="16">
        <v>46101.0</v>
      </c>
      <c r="B10" s="12"/>
      <c r="C10" s="25" t="s">
        <v>84</v>
      </c>
      <c r="D10" s="26" t="s">
        <v>34</v>
      </c>
      <c r="E10" s="27">
        <v>182.0</v>
      </c>
      <c r="F10" s="32"/>
      <c r="G10" s="29"/>
      <c r="H10" s="33"/>
      <c r="I10" s="31" t="s">
        <v>83</v>
      </c>
      <c r="J10" s="9"/>
    </row>
    <row r="11">
      <c r="A11" s="16">
        <v>46101.0</v>
      </c>
      <c r="B11" s="12"/>
      <c r="C11" s="25" t="s">
        <v>85</v>
      </c>
      <c r="D11" s="26" t="s">
        <v>34</v>
      </c>
      <c r="E11" s="27">
        <v>354.0</v>
      </c>
      <c r="F11" s="32"/>
      <c r="G11" s="29"/>
      <c r="H11" s="33"/>
      <c r="I11" s="31" t="s">
        <v>83</v>
      </c>
      <c r="J11" s="9"/>
    </row>
    <row r="12">
      <c r="A12" s="16"/>
      <c r="B12" s="12"/>
      <c r="C12" s="25"/>
      <c r="D12" s="26"/>
      <c r="E12" s="27"/>
      <c r="F12" s="32"/>
      <c r="G12" s="29"/>
      <c r="H12" s="33"/>
      <c r="I12" s="31"/>
      <c r="J12" s="9"/>
    </row>
    <row r="13">
      <c r="A13" s="16"/>
      <c r="B13" s="12"/>
      <c r="C13" s="25"/>
      <c r="D13" s="26"/>
      <c r="E13" s="27"/>
      <c r="F13" s="32"/>
      <c r="G13" s="29"/>
      <c r="H13" s="33"/>
      <c r="I13" s="31"/>
      <c r="J13" s="9"/>
    </row>
    <row r="14">
      <c r="A14" s="16"/>
      <c r="B14" s="12"/>
      <c r="C14" s="25"/>
      <c r="D14" s="26"/>
      <c r="E14" s="27"/>
      <c r="F14" s="32"/>
      <c r="G14" s="29"/>
      <c r="H14" s="33"/>
      <c r="I14" s="31"/>
      <c r="J14" s="9"/>
    </row>
    <row r="15" ht="20.25" customHeight="1">
      <c r="A15" s="34"/>
      <c r="B15" s="12"/>
      <c r="C15" s="35"/>
      <c r="D15" s="26"/>
      <c r="E15" s="29"/>
      <c r="F15" s="28"/>
      <c r="G15" s="29"/>
      <c r="H15" s="33"/>
      <c r="I15" s="31">
        <v>2.0</v>
      </c>
      <c r="J15" s="36" t="s">
        <v>26</v>
      </c>
    </row>
    <row r="16" ht="22.5" customHeight="1">
      <c r="A16" s="37" t="s">
        <v>27</v>
      </c>
      <c r="B16" s="12"/>
      <c r="C16" s="9"/>
      <c r="D16" s="38"/>
      <c r="E16" s="39">
        <f>SUM(E9:E15)</f>
        <v>721</v>
      </c>
      <c r="F16" s="38"/>
      <c r="G16" s="39">
        <f>SUM(G9:G15)</f>
        <v>0</v>
      </c>
      <c r="H16" s="39">
        <f>sum(H9:H15)</f>
        <v>1400</v>
      </c>
      <c r="I16" s="40">
        <f>SUM(E16:H16)</f>
        <v>2121</v>
      </c>
      <c r="J16" s="9"/>
    </row>
    <row r="17" ht="8.2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</row>
    <row r="18" ht="21.0" customHeight="1">
      <c r="A18" s="42" t="s">
        <v>28</v>
      </c>
      <c r="C18" s="43"/>
      <c r="D18" s="42" t="s">
        <v>29</v>
      </c>
      <c r="E18" s="43"/>
      <c r="F18" s="44" t="s">
        <v>30</v>
      </c>
      <c r="G18" s="43"/>
      <c r="H18" s="43"/>
      <c r="I18" s="45" t="s">
        <v>31</v>
      </c>
      <c r="J18" s="43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9.5" customHeight="1">
      <c r="A19" s="47"/>
      <c r="B19" s="47"/>
      <c r="C19" s="47"/>
      <c r="D19" s="47"/>
      <c r="E19" s="47"/>
      <c r="F19" s="47"/>
      <c r="G19" s="47"/>
      <c r="H19" s="47"/>
      <c r="I19" s="47"/>
      <c r="J19" s="47"/>
    </row>
    <row r="20" ht="12.75" customHeight="1">
      <c r="I20" s="48"/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33">
    <mergeCell ref="A1:J1"/>
    <mergeCell ref="A2:J3"/>
    <mergeCell ref="A4:B4"/>
    <mergeCell ref="E4:G4"/>
    <mergeCell ref="I4:J4"/>
    <mergeCell ref="A5:B5"/>
    <mergeCell ref="C5:J5"/>
    <mergeCell ref="A6:B6"/>
    <mergeCell ref="C6:E6"/>
    <mergeCell ref="G6:I6"/>
    <mergeCell ref="A7:B8"/>
    <mergeCell ref="C7:C8"/>
    <mergeCell ref="D7:E7"/>
    <mergeCell ref="F7:G7"/>
    <mergeCell ref="I13:J13"/>
    <mergeCell ref="I14:J14"/>
    <mergeCell ref="I7:J7"/>
    <mergeCell ref="I8:J8"/>
    <mergeCell ref="H9:H15"/>
    <mergeCell ref="I9:J9"/>
    <mergeCell ref="I10:J10"/>
    <mergeCell ref="I11:J11"/>
    <mergeCell ref="I12:J12"/>
    <mergeCell ref="I16:J16"/>
    <mergeCell ref="A16:C16"/>
    <mergeCell ref="A18:B18"/>
    <mergeCell ref="A9:B9"/>
    <mergeCell ref="A10:B10"/>
    <mergeCell ref="A11:B11"/>
    <mergeCell ref="A12:B12"/>
    <mergeCell ref="A13:B13"/>
    <mergeCell ref="A14:B14"/>
    <mergeCell ref="A15:B15"/>
  </mergeCells>
  <dataValidations>
    <dataValidation type="list" allowBlank="1" showErrorMessage="1" sqref="D9:D15">
      <formula1>"高鐵,計程車,台鐵,捷運,自行開車"</formula1>
    </dataValidation>
    <dataValidation type="list" allowBlank="1" showErrorMessage="1" sqref="E4">
      <formula1>"總公司,嶼嶼行銷,影音部"</formula1>
    </dataValidation>
    <dataValidation type="custom" allowBlank="1" showDropDown="1" showInputMessage="1" showErrorMessage="1" prompt="輸入有效日期" sqref="C6 G6 A9:A15">
      <formula1>OR(NOT(ISERROR(DATEVALUE(A6))), AND(ISNUMBER(A6), LEFT(CELL("format", A6))="D"))</formula1>
    </dataValidation>
  </dataValidations>
  <printOptions horizontalCentered="1"/>
  <pageMargins bottom="0.75" footer="0.0" header="0.0" left="0.25" right="0.25" top="0.75"/>
  <pageSetup paperSize="9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7.38"/>
    <col customWidth="1" min="3" max="3" width="15.88"/>
    <col customWidth="1" min="4" max="4" width="15.25"/>
    <col customWidth="1" min="5" max="5" width="9.38"/>
    <col customWidth="1" min="6" max="6" width="14.88"/>
    <col customWidth="1" min="7" max="7" width="10.38"/>
    <col customWidth="1" min="8" max="8" width="13.38"/>
    <col customWidth="1" min="9" max="9" width="28.75"/>
    <col customWidth="1" min="10" max="10" width="11.13"/>
    <col customWidth="1" min="11" max="26" width="11.0"/>
  </cols>
  <sheetData>
    <row r="1" ht="78.0" customHeight="1">
      <c r="A1" s="1"/>
    </row>
    <row r="2" ht="24.0" customHeight="1">
      <c r="A2" s="2" t="s">
        <v>0</v>
      </c>
      <c r="B2" s="3"/>
      <c r="C2" s="3"/>
      <c r="D2" s="3"/>
      <c r="E2" s="3"/>
      <c r="F2" s="3"/>
      <c r="G2" s="3"/>
      <c r="H2" s="3"/>
      <c r="I2" s="3"/>
      <c r="J2" s="4"/>
    </row>
    <row r="3" ht="10.5" customHeight="1">
      <c r="A3" s="5"/>
      <c r="B3" s="6"/>
      <c r="C3" s="6"/>
      <c r="D3" s="6"/>
      <c r="E3" s="6"/>
      <c r="F3" s="6"/>
      <c r="G3" s="6"/>
      <c r="H3" s="6"/>
      <c r="I3" s="6"/>
      <c r="J3" s="7"/>
    </row>
    <row r="4" ht="22.5" customHeight="1">
      <c r="A4" s="8" t="s">
        <v>1</v>
      </c>
      <c r="B4" s="9"/>
      <c r="C4" s="10" t="s">
        <v>2</v>
      </c>
      <c r="D4" s="11" t="s">
        <v>3</v>
      </c>
      <c r="E4" s="8" t="s">
        <v>4</v>
      </c>
      <c r="F4" s="12"/>
      <c r="G4" s="9"/>
      <c r="H4" s="13" t="s">
        <v>5</v>
      </c>
      <c r="I4" s="49" t="s">
        <v>6</v>
      </c>
      <c r="J4" s="9"/>
    </row>
    <row r="5" ht="22.5" customHeight="1">
      <c r="A5" s="8" t="s">
        <v>7</v>
      </c>
      <c r="B5" s="9"/>
      <c r="C5" s="15" t="s">
        <v>86</v>
      </c>
      <c r="D5" s="3"/>
      <c r="E5" s="3"/>
      <c r="F5" s="3"/>
      <c r="G5" s="3"/>
      <c r="H5" s="3"/>
      <c r="I5" s="3"/>
      <c r="J5" s="4"/>
    </row>
    <row r="6" ht="22.5" customHeight="1">
      <c r="A6" s="8" t="s">
        <v>9</v>
      </c>
      <c r="B6" s="9"/>
      <c r="C6" s="16">
        <v>46104.0</v>
      </c>
      <c r="D6" s="12"/>
      <c r="E6" s="12"/>
      <c r="F6" s="11" t="s">
        <v>10</v>
      </c>
      <c r="G6" s="16">
        <v>46104.0</v>
      </c>
      <c r="H6" s="12"/>
      <c r="I6" s="12"/>
      <c r="J6" s="17" t="s">
        <v>11</v>
      </c>
    </row>
    <row r="7" ht="22.5" customHeight="1">
      <c r="A7" s="18" t="s">
        <v>12</v>
      </c>
      <c r="B7" s="4"/>
      <c r="C7" s="19" t="s">
        <v>13</v>
      </c>
      <c r="D7" s="20" t="s">
        <v>14</v>
      </c>
      <c r="E7" s="7"/>
      <c r="F7" s="21" t="s">
        <v>15</v>
      </c>
      <c r="G7" s="7"/>
      <c r="H7" s="22" t="s">
        <v>16</v>
      </c>
      <c r="I7" s="20" t="s">
        <v>17</v>
      </c>
      <c r="J7" s="7"/>
    </row>
    <row r="8" ht="22.5" customHeight="1">
      <c r="A8" s="5"/>
      <c r="B8" s="7"/>
      <c r="C8" s="23"/>
      <c r="D8" s="11" t="s">
        <v>18</v>
      </c>
      <c r="E8" s="11" t="s">
        <v>19</v>
      </c>
      <c r="F8" s="11" t="s">
        <v>20</v>
      </c>
      <c r="G8" s="24" t="s">
        <v>19</v>
      </c>
      <c r="H8" s="24" t="s">
        <v>19</v>
      </c>
      <c r="I8" s="8" t="s">
        <v>21</v>
      </c>
      <c r="J8" s="9"/>
    </row>
    <row r="9">
      <c r="A9" s="16">
        <v>46104.0</v>
      </c>
      <c r="B9" s="12"/>
      <c r="C9" s="25" t="s">
        <v>87</v>
      </c>
      <c r="D9" s="26" t="s">
        <v>23</v>
      </c>
      <c r="E9" s="27">
        <f>5.8*8</f>
        <v>46.4</v>
      </c>
      <c r="F9" s="28"/>
      <c r="G9" s="29"/>
      <c r="H9" s="30">
        <f>(G6-C6+1)*700*I15</f>
        <v>1400</v>
      </c>
      <c r="I9" s="31" t="s">
        <v>38</v>
      </c>
      <c r="J9" s="9"/>
    </row>
    <row r="10">
      <c r="A10" s="16">
        <v>46104.0</v>
      </c>
      <c r="B10" s="12"/>
      <c r="C10" s="25" t="s">
        <v>88</v>
      </c>
      <c r="D10" s="26" t="s">
        <v>23</v>
      </c>
      <c r="E10" s="27">
        <f>160*8</f>
        <v>1280</v>
      </c>
      <c r="F10" s="32"/>
      <c r="G10" s="29"/>
      <c r="H10" s="33"/>
      <c r="I10" s="31" t="s">
        <v>38</v>
      </c>
      <c r="J10" s="9"/>
    </row>
    <row r="11">
      <c r="A11" s="16">
        <v>46104.0</v>
      </c>
      <c r="B11" s="12"/>
      <c r="C11" s="25" t="s">
        <v>89</v>
      </c>
      <c r="D11" s="26" t="s">
        <v>23</v>
      </c>
      <c r="E11" s="27">
        <f>3*8</f>
        <v>24</v>
      </c>
      <c r="F11" s="32"/>
      <c r="G11" s="29"/>
      <c r="H11" s="33"/>
      <c r="I11" s="31" t="s">
        <v>38</v>
      </c>
      <c r="J11" s="9"/>
    </row>
    <row r="12">
      <c r="A12" s="16">
        <v>46104.0</v>
      </c>
      <c r="B12" s="12"/>
      <c r="C12" s="25" t="s">
        <v>90</v>
      </c>
      <c r="D12" s="26" t="s">
        <v>23</v>
      </c>
      <c r="E12" s="27">
        <f>158*8</f>
        <v>1264</v>
      </c>
      <c r="F12" s="32"/>
      <c r="G12" s="29"/>
      <c r="H12" s="33"/>
      <c r="I12" s="31" t="s">
        <v>38</v>
      </c>
      <c r="J12" s="9"/>
    </row>
    <row r="13">
      <c r="A13" s="16">
        <v>46104.0</v>
      </c>
      <c r="B13" s="12"/>
      <c r="C13" s="25" t="s">
        <v>41</v>
      </c>
      <c r="D13" s="26" t="s">
        <v>23</v>
      </c>
      <c r="E13" s="27">
        <v>60.0</v>
      </c>
      <c r="F13" s="32"/>
      <c r="G13" s="29"/>
      <c r="H13" s="33"/>
      <c r="I13" s="31" t="s">
        <v>38</v>
      </c>
      <c r="J13" s="9"/>
    </row>
    <row r="14">
      <c r="A14" s="16">
        <v>46104.0</v>
      </c>
      <c r="B14" s="12"/>
      <c r="C14" s="25" t="s">
        <v>40</v>
      </c>
      <c r="D14" s="26" t="s">
        <v>23</v>
      </c>
      <c r="E14" s="27">
        <v>245.0</v>
      </c>
      <c r="F14" s="32"/>
      <c r="G14" s="29"/>
      <c r="H14" s="33"/>
      <c r="I14" s="31" t="s">
        <v>38</v>
      </c>
      <c r="J14" s="9"/>
    </row>
    <row r="15" ht="20.25" customHeight="1">
      <c r="A15" s="34"/>
      <c r="B15" s="12"/>
      <c r="C15" s="35"/>
      <c r="D15" s="26"/>
      <c r="E15" s="29"/>
      <c r="F15" s="28"/>
      <c r="G15" s="29"/>
      <c r="H15" s="33"/>
      <c r="I15" s="31">
        <v>2.0</v>
      </c>
      <c r="J15" s="36" t="s">
        <v>26</v>
      </c>
    </row>
    <row r="16" ht="22.5" customHeight="1">
      <c r="A16" s="37" t="s">
        <v>27</v>
      </c>
      <c r="B16" s="12"/>
      <c r="C16" s="9"/>
      <c r="D16" s="38"/>
      <c r="E16" s="39">
        <f>SUM(E9:E15)</f>
        <v>2919.4</v>
      </c>
      <c r="F16" s="38"/>
      <c r="G16" s="39">
        <f>SUM(G9:G15)</f>
        <v>0</v>
      </c>
      <c r="H16" s="39">
        <f>sum(H9:H15)</f>
        <v>1400</v>
      </c>
      <c r="I16" s="40">
        <f>SUM(E16:H16)</f>
        <v>4319.4</v>
      </c>
      <c r="J16" s="9"/>
    </row>
    <row r="17" ht="8.2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</row>
    <row r="18" ht="21.0" customHeight="1">
      <c r="A18" s="42" t="s">
        <v>28</v>
      </c>
      <c r="C18" s="43"/>
      <c r="D18" s="42" t="s">
        <v>29</v>
      </c>
      <c r="E18" s="43"/>
      <c r="F18" s="44" t="s">
        <v>30</v>
      </c>
      <c r="G18" s="43"/>
      <c r="H18" s="43"/>
      <c r="I18" s="45" t="s">
        <v>31</v>
      </c>
      <c r="J18" s="43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9.5" customHeight="1">
      <c r="A19" s="47"/>
      <c r="B19" s="47"/>
      <c r="C19" s="47"/>
      <c r="D19" s="47"/>
      <c r="E19" s="47"/>
      <c r="F19" s="47"/>
      <c r="G19" s="47"/>
      <c r="H19" s="47"/>
      <c r="I19" s="47"/>
      <c r="J19" s="47"/>
    </row>
    <row r="20" ht="12.75" customHeight="1">
      <c r="I20" s="48"/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33">
    <mergeCell ref="A1:J1"/>
    <mergeCell ref="A2:J3"/>
    <mergeCell ref="A4:B4"/>
    <mergeCell ref="E4:G4"/>
    <mergeCell ref="I4:J4"/>
    <mergeCell ref="A5:B5"/>
    <mergeCell ref="C5:J5"/>
    <mergeCell ref="A6:B6"/>
    <mergeCell ref="C6:E6"/>
    <mergeCell ref="G6:I6"/>
    <mergeCell ref="A7:B8"/>
    <mergeCell ref="C7:C8"/>
    <mergeCell ref="D7:E7"/>
    <mergeCell ref="F7:G7"/>
    <mergeCell ref="I13:J13"/>
    <mergeCell ref="I14:J14"/>
    <mergeCell ref="I7:J7"/>
    <mergeCell ref="I8:J8"/>
    <mergeCell ref="H9:H15"/>
    <mergeCell ref="I9:J9"/>
    <mergeCell ref="I10:J10"/>
    <mergeCell ref="I11:J11"/>
    <mergeCell ref="I12:J12"/>
    <mergeCell ref="I16:J16"/>
    <mergeCell ref="A16:C16"/>
    <mergeCell ref="A18:B18"/>
    <mergeCell ref="A9:B9"/>
    <mergeCell ref="A10:B10"/>
    <mergeCell ref="A11:B11"/>
    <mergeCell ref="A12:B12"/>
    <mergeCell ref="A13:B13"/>
    <mergeCell ref="A14:B14"/>
    <mergeCell ref="A15:B15"/>
  </mergeCells>
  <dataValidations>
    <dataValidation type="list" allowBlank="1" showErrorMessage="1" sqref="D9:D15">
      <formula1>"高鐵,計程車,台鐵,捷運,自行開車"</formula1>
    </dataValidation>
    <dataValidation type="list" allowBlank="1" showErrorMessage="1" sqref="E4">
      <formula1>"總公司,嶼嶼行銷,影音部"</formula1>
    </dataValidation>
    <dataValidation type="custom" allowBlank="1" showDropDown="1" showInputMessage="1" showErrorMessage="1" prompt="輸入有效日期" sqref="C6 G6 A9:A15">
      <formula1>OR(NOT(ISERROR(DATEVALUE(A6))), AND(ISNUMBER(A6), LEFT(CELL("format", A6))="D"))</formula1>
    </dataValidation>
  </dataValidations>
  <printOptions horizontalCentered="1"/>
  <pageMargins bottom="0.75" footer="0.0" header="0.0" left="0.25" right="0.25" top="0.75"/>
  <pageSetup paperSize="9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7.38"/>
    <col customWidth="1" min="3" max="3" width="15.88"/>
    <col customWidth="1" min="4" max="4" width="15.25"/>
    <col customWidth="1" min="5" max="5" width="9.38"/>
    <col customWidth="1" min="6" max="6" width="14.88"/>
    <col customWidth="1" min="7" max="7" width="10.38"/>
    <col customWidth="1" min="8" max="8" width="13.38"/>
    <col customWidth="1" min="9" max="9" width="28.75"/>
    <col customWidth="1" min="10" max="10" width="11.13"/>
    <col customWidth="1" min="11" max="26" width="11.0"/>
  </cols>
  <sheetData>
    <row r="1" ht="78.0" customHeight="1">
      <c r="A1" s="1"/>
    </row>
    <row r="2" ht="24.0" customHeight="1">
      <c r="A2" s="2" t="s">
        <v>0</v>
      </c>
      <c r="B2" s="3"/>
      <c r="C2" s="3"/>
      <c r="D2" s="3"/>
      <c r="E2" s="3"/>
      <c r="F2" s="3"/>
      <c r="G2" s="3"/>
      <c r="H2" s="3"/>
      <c r="I2" s="3"/>
      <c r="J2" s="4"/>
    </row>
    <row r="3" ht="10.5" customHeight="1">
      <c r="A3" s="5"/>
      <c r="B3" s="6"/>
      <c r="C3" s="6"/>
      <c r="D3" s="6"/>
      <c r="E3" s="6"/>
      <c r="F3" s="6"/>
      <c r="G3" s="6"/>
      <c r="H3" s="6"/>
      <c r="I3" s="6"/>
      <c r="J3" s="7"/>
    </row>
    <row r="4" ht="22.5" customHeight="1">
      <c r="A4" s="8" t="s">
        <v>1</v>
      </c>
      <c r="B4" s="9"/>
      <c r="C4" s="10" t="s">
        <v>2</v>
      </c>
      <c r="D4" s="11" t="s">
        <v>3</v>
      </c>
      <c r="E4" s="8" t="s">
        <v>4</v>
      </c>
      <c r="F4" s="12"/>
      <c r="G4" s="9"/>
      <c r="H4" s="13" t="s">
        <v>5</v>
      </c>
      <c r="I4" s="49" t="s">
        <v>6</v>
      </c>
      <c r="J4" s="9"/>
    </row>
    <row r="5" ht="22.5" customHeight="1">
      <c r="A5" s="8" t="s">
        <v>7</v>
      </c>
      <c r="B5" s="9"/>
      <c r="C5" s="15" t="s">
        <v>91</v>
      </c>
      <c r="D5" s="3"/>
      <c r="E5" s="3"/>
      <c r="F5" s="3"/>
      <c r="G5" s="3"/>
      <c r="H5" s="3"/>
      <c r="I5" s="3"/>
      <c r="J5" s="4"/>
    </row>
    <row r="6" ht="22.5" customHeight="1">
      <c r="A6" s="8" t="s">
        <v>9</v>
      </c>
      <c r="B6" s="9"/>
      <c r="C6" s="16">
        <v>46105.0</v>
      </c>
      <c r="D6" s="12"/>
      <c r="E6" s="12"/>
      <c r="F6" s="11" t="s">
        <v>10</v>
      </c>
      <c r="G6" s="16">
        <v>46105.0</v>
      </c>
      <c r="H6" s="12"/>
      <c r="I6" s="12"/>
      <c r="J6" s="17" t="s">
        <v>11</v>
      </c>
    </row>
    <row r="7" ht="22.5" customHeight="1">
      <c r="A7" s="18" t="s">
        <v>12</v>
      </c>
      <c r="B7" s="4"/>
      <c r="C7" s="19" t="s">
        <v>13</v>
      </c>
      <c r="D7" s="20" t="s">
        <v>14</v>
      </c>
      <c r="E7" s="7"/>
      <c r="F7" s="21" t="s">
        <v>15</v>
      </c>
      <c r="G7" s="7"/>
      <c r="H7" s="22" t="s">
        <v>16</v>
      </c>
      <c r="I7" s="20" t="s">
        <v>17</v>
      </c>
      <c r="J7" s="7"/>
    </row>
    <row r="8" ht="22.5" customHeight="1">
      <c r="A8" s="5"/>
      <c r="B8" s="7"/>
      <c r="C8" s="23"/>
      <c r="D8" s="11" t="s">
        <v>18</v>
      </c>
      <c r="E8" s="11" t="s">
        <v>19</v>
      </c>
      <c r="F8" s="11" t="s">
        <v>20</v>
      </c>
      <c r="G8" s="24" t="s">
        <v>19</v>
      </c>
      <c r="H8" s="24" t="s">
        <v>19</v>
      </c>
      <c r="I8" s="8" t="s">
        <v>21</v>
      </c>
      <c r="J8" s="9"/>
    </row>
    <row r="9">
      <c r="A9" s="16">
        <v>46105.0</v>
      </c>
      <c r="B9" s="12"/>
      <c r="C9" s="25" t="s">
        <v>78</v>
      </c>
      <c r="D9" s="26" t="s">
        <v>23</v>
      </c>
      <c r="E9" s="27">
        <f>7.9*8</f>
        <v>63.2</v>
      </c>
      <c r="F9" s="28"/>
      <c r="G9" s="29"/>
      <c r="H9" s="30">
        <f>(G6-C6+1)*700*I15</f>
        <v>1400</v>
      </c>
      <c r="I9" s="31" t="s">
        <v>50</v>
      </c>
      <c r="J9" s="9"/>
    </row>
    <row r="10">
      <c r="A10" s="16">
        <v>46105.0</v>
      </c>
      <c r="B10" s="12"/>
      <c r="C10" s="25" t="s">
        <v>92</v>
      </c>
      <c r="D10" s="26" t="s">
        <v>23</v>
      </c>
      <c r="E10" s="27">
        <f>125*8</f>
        <v>1000</v>
      </c>
      <c r="F10" s="32"/>
      <c r="G10" s="29"/>
      <c r="H10" s="33"/>
      <c r="I10" s="31" t="s">
        <v>50</v>
      </c>
      <c r="J10" s="9"/>
    </row>
    <row r="11">
      <c r="A11" s="16">
        <v>46105.0</v>
      </c>
      <c r="B11" s="12"/>
      <c r="C11" s="25" t="s">
        <v>93</v>
      </c>
      <c r="D11" s="26" t="s">
        <v>23</v>
      </c>
      <c r="E11" s="27">
        <f>117*8</f>
        <v>936</v>
      </c>
      <c r="F11" s="32"/>
      <c r="G11" s="29"/>
      <c r="H11" s="33"/>
      <c r="I11" s="31" t="s">
        <v>50</v>
      </c>
      <c r="J11" s="9"/>
    </row>
    <row r="12">
      <c r="A12" s="16">
        <v>46105.0</v>
      </c>
      <c r="B12" s="12"/>
      <c r="C12" s="25" t="s">
        <v>82</v>
      </c>
      <c r="D12" s="26" t="s">
        <v>23</v>
      </c>
      <c r="E12" s="27">
        <f>8.4*8</f>
        <v>67.2</v>
      </c>
      <c r="F12" s="32"/>
      <c r="G12" s="29"/>
      <c r="H12" s="33"/>
      <c r="I12" s="31" t="s">
        <v>50</v>
      </c>
      <c r="J12" s="9"/>
    </row>
    <row r="13">
      <c r="A13" s="16">
        <v>46104.0</v>
      </c>
      <c r="B13" s="12"/>
      <c r="C13" s="25" t="s">
        <v>41</v>
      </c>
      <c r="D13" s="26" t="s">
        <v>23</v>
      </c>
      <c r="E13" s="27">
        <v>126.0</v>
      </c>
      <c r="F13" s="32"/>
      <c r="G13" s="29"/>
      <c r="H13" s="33"/>
      <c r="I13" s="31" t="s">
        <v>50</v>
      </c>
      <c r="J13" s="9"/>
    </row>
    <row r="14">
      <c r="A14" s="16">
        <v>46104.0</v>
      </c>
      <c r="B14" s="12"/>
      <c r="C14" s="25" t="s">
        <v>40</v>
      </c>
      <c r="D14" s="26" t="s">
        <v>23</v>
      </c>
      <c r="E14" s="27">
        <v>136.0</v>
      </c>
      <c r="F14" s="32"/>
      <c r="G14" s="29"/>
      <c r="H14" s="33"/>
      <c r="I14" s="31" t="s">
        <v>50</v>
      </c>
      <c r="J14" s="9"/>
    </row>
    <row r="15" ht="20.25" customHeight="1">
      <c r="A15" s="34"/>
      <c r="B15" s="12"/>
      <c r="C15" s="35"/>
      <c r="D15" s="26"/>
      <c r="E15" s="29"/>
      <c r="F15" s="28"/>
      <c r="G15" s="29"/>
      <c r="H15" s="33"/>
      <c r="I15" s="31">
        <v>2.0</v>
      </c>
      <c r="J15" s="36" t="s">
        <v>26</v>
      </c>
    </row>
    <row r="16" ht="22.5" customHeight="1">
      <c r="A16" s="37" t="s">
        <v>27</v>
      </c>
      <c r="B16" s="12"/>
      <c r="C16" s="9"/>
      <c r="D16" s="38"/>
      <c r="E16" s="39">
        <f>SUM(E9:E15)</f>
        <v>2328.4</v>
      </c>
      <c r="F16" s="38"/>
      <c r="G16" s="39">
        <f>SUM(G9:G15)</f>
        <v>0</v>
      </c>
      <c r="H16" s="39">
        <f>sum(H9:H15)</f>
        <v>1400</v>
      </c>
      <c r="I16" s="40">
        <f>SUM(E16:H16)</f>
        <v>3728.4</v>
      </c>
      <c r="J16" s="9"/>
    </row>
    <row r="17" ht="8.2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</row>
    <row r="18" ht="21.0" customHeight="1">
      <c r="A18" s="42" t="s">
        <v>28</v>
      </c>
      <c r="C18" s="43"/>
      <c r="D18" s="42" t="s">
        <v>29</v>
      </c>
      <c r="E18" s="43"/>
      <c r="F18" s="44" t="s">
        <v>30</v>
      </c>
      <c r="G18" s="43"/>
      <c r="H18" s="43"/>
      <c r="I18" s="45" t="s">
        <v>31</v>
      </c>
      <c r="J18" s="43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9.5" customHeight="1">
      <c r="A19" s="47"/>
      <c r="B19" s="47"/>
      <c r="C19" s="47"/>
      <c r="D19" s="47"/>
      <c r="E19" s="47"/>
      <c r="F19" s="47"/>
      <c r="G19" s="47"/>
      <c r="H19" s="47"/>
      <c r="I19" s="47"/>
      <c r="J19" s="47"/>
    </row>
    <row r="20" ht="12.75" customHeight="1">
      <c r="I20" s="48"/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33">
    <mergeCell ref="A1:J1"/>
    <mergeCell ref="A2:J3"/>
    <mergeCell ref="A4:B4"/>
    <mergeCell ref="E4:G4"/>
    <mergeCell ref="I4:J4"/>
    <mergeCell ref="A5:B5"/>
    <mergeCell ref="C5:J5"/>
    <mergeCell ref="A6:B6"/>
    <mergeCell ref="C6:E6"/>
    <mergeCell ref="G6:I6"/>
    <mergeCell ref="A7:B8"/>
    <mergeCell ref="C7:C8"/>
    <mergeCell ref="D7:E7"/>
    <mergeCell ref="F7:G7"/>
    <mergeCell ref="I13:J13"/>
    <mergeCell ref="I14:J14"/>
    <mergeCell ref="I7:J7"/>
    <mergeCell ref="I8:J8"/>
    <mergeCell ref="H9:H15"/>
    <mergeCell ref="I9:J9"/>
    <mergeCell ref="I10:J10"/>
    <mergeCell ref="I11:J11"/>
    <mergeCell ref="I12:J12"/>
    <mergeCell ref="I16:J16"/>
    <mergeCell ref="A16:C16"/>
    <mergeCell ref="A18:B18"/>
    <mergeCell ref="A9:B9"/>
    <mergeCell ref="A10:B10"/>
    <mergeCell ref="A11:B11"/>
    <mergeCell ref="A12:B12"/>
    <mergeCell ref="A13:B13"/>
    <mergeCell ref="A14:B14"/>
    <mergeCell ref="A15:B15"/>
  </mergeCells>
  <dataValidations>
    <dataValidation type="list" allowBlank="1" showErrorMessage="1" sqref="D9:D15">
      <formula1>"高鐵,計程車,台鐵,捷運,自行開車"</formula1>
    </dataValidation>
    <dataValidation type="list" allowBlank="1" showErrorMessage="1" sqref="E4">
      <formula1>"總公司,嶼嶼行銷,影音部"</formula1>
    </dataValidation>
    <dataValidation type="custom" allowBlank="1" showDropDown="1" showInputMessage="1" showErrorMessage="1" prompt="輸入有效日期" sqref="C6 G6 A9:A15">
      <formula1>OR(NOT(ISERROR(DATEVALUE(A6))), AND(ISNUMBER(A6), LEFT(CELL("format", A6))="D"))</formula1>
    </dataValidation>
  </dataValidations>
  <printOptions horizontalCentered="1"/>
  <pageMargins bottom="0.75" footer="0.0" header="0.0" left="0.25" right="0.25" top="0.75"/>
  <pageSetup paperSize="9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7.38"/>
    <col customWidth="1" min="3" max="3" width="15.88"/>
    <col customWidth="1" min="4" max="4" width="15.25"/>
    <col customWidth="1" min="5" max="5" width="9.38"/>
    <col customWidth="1" min="6" max="6" width="14.88"/>
    <col customWidth="1" min="7" max="7" width="10.38"/>
    <col customWidth="1" min="8" max="8" width="13.38"/>
    <col customWidth="1" min="9" max="9" width="28.75"/>
    <col customWidth="1" min="10" max="10" width="11.13"/>
    <col customWidth="1" min="11" max="26" width="11.0"/>
  </cols>
  <sheetData>
    <row r="1" ht="78.0" customHeight="1">
      <c r="A1" s="1"/>
    </row>
    <row r="2" ht="24.0" customHeight="1">
      <c r="A2" s="2" t="s">
        <v>0</v>
      </c>
      <c r="B2" s="3"/>
      <c r="C2" s="3"/>
      <c r="D2" s="3"/>
      <c r="E2" s="3"/>
      <c r="F2" s="3"/>
      <c r="G2" s="3"/>
      <c r="H2" s="3"/>
      <c r="I2" s="3"/>
      <c r="J2" s="4"/>
    </row>
    <row r="3" ht="10.5" customHeight="1">
      <c r="A3" s="5"/>
      <c r="B3" s="6"/>
      <c r="C3" s="6"/>
      <c r="D3" s="6"/>
      <c r="E3" s="6"/>
      <c r="F3" s="6"/>
      <c r="G3" s="6"/>
      <c r="H3" s="6"/>
      <c r="I3" s="6"/>
      <c r="J3" s="7"/>
    </row>
    <row r="4" ht="22.5" customHeight="1">
      <c r="A4" s="8" t="s">
        <v>1</v>
      </c>
      <c r="B4" s="9"/>
      <c r="C4" s="10" t="s">
        <v>2</v>
      </c>
      <c r="D4" s="11" t="s">
        <v>3</v>
      </c>
      <c r="E4" s="8" t="s">
        <v>4</v>
      </c>
      <c r="F4" s="12"/>
      <c r="G4" s="9"/>
      <c r="H4" s="13" t="s">
        <v>5</v>
      </c>
      <c r="I4" s="49" t="s">
        <v>6</v>
      </c>
      <c r="J4" s="9"/>
    </row>
    <row r="5" ht="22.5" customHeight="1">
      <c r="A5" s="8" t="s">
        <v>7</v>
      </c>
      <c r="B5" s="9"/>
      <c r="C5" s="15" t="s">
        <v>94</v>
      </c>
      <c r="D5" s="3"/>
      <c r="E5" s="3"/>
      <c r="F5" s="3"/>
      <c r="G5" s="3"/>
      <c r="H5" s="3"/>
      <c r="I5" s="3"/>
      <c r="J5" s="4"/>
    </row>
    <row r="6" ht="22.5" customHeight="1">
      <c r="A6" s="8" t="s">
        <v>9</v>
      </c>
      <c r="B6" s="9"/>
      <c r="C6" s="16">
        <v>46106.0</v>
      </c>
      <c r="D6" s="12"/>
      <c r="E6" s="12"/>
      <c r="F6" s="11" t="s">
        <v>10</v>
      </c>
      <c r="G6" s="16">
        <v>46106.0</v>
      </c>
      <c r="H6" s="12"/>
      <c r="I6" s="12"/>
      <c r="J6" s="17" t="s">
        <v>11</v>
      </c>
    </row>
    <row r="7" ht="22.5" customHeight="1">
      <c r="A7" s="18" t="s">
        <v>12</v>
      </c>
      <c r="B7" s="4"/>
      <c r="C7" s="19" t="s">
        <v>13</v>
      </c>
      <c r="D7" s="20" t="s">
        <v>14</v>
      </c>
      <c r="E7" s="7"/>
      <c r="F7" s="21" t="s">
        <v>15</v>
      </c>
      <c r="G7" s="7"/>
      <c r="H7" s="22" t="s">
        <v>16</v>
      </c>
      <c r="I7" s="20" t="s">
        <v>17</v>
      </c>
      <c r="J7" s="7"/>
    </row>
    <row r="8" ht="22.5" customHeight="1">
      <c r="A8" s="5"/>
      <c r="B8" s="7"/>
      <c r="C8" s="23"/>
      <c r="D8" s="11" t="s">
        <v>18</v>
      </c>
      <c r="E8" s="11" t="s">
        <v>19</v>
      </c>
      <c r="F8" s="11" t="s">
        <v>20</v>
      </c>
      <c r="G8" s="24" t="s">
        <v>19</v>
      </c>
      <c r="H8" s="24" t="s">
        <v>19</v>
      </c>
      <c r="I8" s="8" t="s">
        <v>21</v>
      </c>
      <c r="J8" s="9"/>
    </row>
    <row r="9">
      <c r="A9" s="16">
        <v>46106.0</v>
      </c>
      <c r="B9" s="12"/>
      <c r="C9" s="25" t="s">
        <v>95</v>
      </c>
      <c r="D9" s="26" t="s">
        <v>34</v>
      </c>
      <c r="E9" s="27">
        <v>603.0</v>
      </c>
      <c r="F9" s="28"/>
      <c r="G9" s="29"/>
      <c r="H9" s="30">
        <f>(G6-C6+1)*700*I15</f>
        <v>700</v>
      </c>
      <c r="I9" s="31"/>
      <c r="J9" s="9"/>
    </row>
    <row r="10">
      <c r="A10" s="16">
        <v>46106.0</v>
      </c>
      <c r="B10" s="12"/>
      <c r="C10" s="25" t="s">
        <v>62</v>
      </c>
      <c r="D10" s="26" t="s">
        <v>55</v>
      </c>
      <c r="E10" s="27">
        <v>45.0</v>
      </c>
      <c r="F10" s="32"/>
      <c r="G10" s="29"/>
      <c r="H10" s="33"/>
      <c r="I10" s="31"/>
      <c r="J10" s="9"/>
    </row>
    <row r="11">
      <c r="A11" s="16"/>
      <c r="B11" s="12"/>
      <c r="C11" s="25"/>
      <c r="D11" s="26"/>
      <c r="E11" s="27"/>
      <c r="F11" s="32"/>
      <c r="G11" s="29"/>
      <c r="H11" s="33"/>
      <c r="I11" s="31"/>
      <c r="J11" s="9"/>
    </row>
    <row r="12">
      <c r="A12" s="16"/>
      <c r="B12" s="12"/>
      <c r="C12" s="25"/>
      <c r="D12" s="26"/>
      <c r="E12" s="27"/>
      <c r="F12" s="32"/>
      <c r="G12" s="29"/>
      <c r="H12" s="33"/>
      <c r="I12" s="31"/>
      <c r="J12" s="9"/>
    </row>
    <row r="13">
      <c r="A13" s="16"/>
      <c r="B13" s="12"/>
      <c r="C13" s="25"/>
      <c r="D13" s="26"/>
      <c r="E13" s="27"/>
      <c r="F13" s="32"/>
      <c r="G13" s="29"/>
      <c r="H13" s="33"/>
      <c r="I13" s="31"/>
      <c r="J13" s="9"/>
    </row>
    <row r="14">
      <c r="A14" s="16"/>
      <c r="B14" s="12"/>
      <c r="C14" s="25"/>
      <c r="D14" s="26"/>
      <c r="E14" s="27"/>
      <c r="F14" s="32"/>
      <c r="G14" s="29"/>
      <c r="H14" s="33"/>
      <c r="I14" s="31"/>
      <c r="J14" s="9"/>
    </row>
    <row r="15" ht="20.25" customHeight="1">
      <c r="A15" s="34"/>
      <c r="B15" s="12"/>
      <c r="C15" s="35"/>
      <c r="D15" s="26"/>
      <c r="E15" s="29"/>
      <c r="F15" s="28"/>
      <c r="G15" s="29"/>
      <c r="H15" s="33"/>
      <c r="I15" s="31">
        <v>1.0</v>
      </c>
      <c r="J15" s="36" t="s">
        <v>26</v>
      </c>
    </row>
    <row r="16" ht="22.5" customHeight="1">
      <c r="A16" s="37" t="s">
        <v>27</v>
      </c>
      <c r="B16" s="12"/>
      <c r="C16" s="9"/>
      <c r="D16" s="38"/>
      <c r="E16" s="39">
        <f>SUM(E9:E15)</f>
        <v>648</v>
      </c>
      <c r="F16" s="38"/>
      <c r="G16" s="39">
        <f>SUM(G9:G15)</f>
        <v>0</v>
      </c>
      <c r="H16" s="39">
        <f>sum(H9:H15)</f>
        <v>700</v>
      </c>
      <c r="I16" s="40">
        <f>SUM(E16:H16)</f>
        <v>1348</v>
      </c>
      <c r="J16" s="9"/>
    </row>
    <row r="17" ht="8.2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</row>
    <row r="18" ht="21.0" customHeight="1">
      <c r="A18" s="42" t="s">
        <v>28</v>
      </c>
      <c r="C18" s="43"/>
      <c r="D18" s="42" t="s">
        <v>29</v>
      </c>
      <c r="E18" s="43"/>
      <c r="F18" s="44" t="s">
        <v>30</v>
      </c>
      <c r="G18" s="43"/>
      <c r="H18" s="43"/>
      <c r="I18" s="45" t="s">
        <v>31</v>
      </c>
      <c r="J18" s="43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9.5" customHeight="1">
      <c r="A19" s="47"/>
      <c r="B19" s="47"/>
      <c r="C19" s="47"/>
      <c r="D19" s="47"/>
      <c r="E19" s="47"/>
      <c r="F19" s="47"/>
      <c r="G19" s="47"/>
      <c r="H19" s="47"/>
      <c r="I19" s="47"/>
      <c r="J19" s="47"/>
    </row>
    <row r="20" ht="12.75" customHeight="1">
      <c r="I20" s="48"/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33">
    <mergeCell ref="A1:J1"/>
    <mergeCell ref="A2:J3"/>
    <mergeCell ref="A4:B4"/>
    <mergeCell ref="E4:G4"/>
    <mergeCell ref="I4:J4"/>
    <mergeCell ref="A5:B5"/>
    <mergeCell ref="C5:J5"/>
    <mergeCell ref="A6:B6"/>
    <mergeCell ref="C6:E6"/>
    <mergeCell ref="G6:I6"/>
    <mergeCell ref="A7:B8"/>
    <mergeCell ref="C7:C8"/>
    <mergeCell ref="D7:E7"/>
    <mergeCell ref="F7:G7"/>
    <mergeCell ref="I13:J13"/>
    <mergeCell ref="I14:J14"/>
    <mergeCell ref="I7:J7"/>
    <mergeCell ref="I8:J8"/>
    <mergeCell ref="H9:H15"/>
    <mergeCell ref="I9:J9"/>
    <mergeCell ref="I10:J10"/>
    <mergeCell ref="I11:J11"/>
    <mergeCell ref="I12:J12"/>
    <mergeCell ref="I16:J16"/>
    <mergeCell ref="A16:C16"/>
    <mergeCell ref="A18:B18"/>
    <mergeCell ref="A9:B9"/>
    <mergeCell ref="A10:B10"/>
    <mergeCell ref="A11:B11"/>
    <mergeCell ref="A12:B12"/>
    <mergeCell ref="A13:B13"/>
    <mergeCell ref="A14:B14"/>
    <mergeCell ref="A15:B15"/>
  </mergeCells>
  <dataValidations>
    <dataValidation type="list" allowBlank="1" showErrorMessage="1" sqref="D9:D15">
      <formula1>"高鐵,計程車,台鐵,捷運,自行開車"</formula1>
    </dataValidation>
    <dataValidation type="list" allowBlank="1" showErrorMessage="1" sqref="E4">
      <formula1>"總公司,嶼嶼行銷,影音部"</formula1>
    </dataValidation>
    <dataValidation type="custom" allowBlank="1" showDropDown="1" showInputMessage="1" showErrorMessage="1" prompt="輸入有效日期" sqref="C6 G6 A9:A15">
      <formula1>OR(NOT(ISERROR(DATEVALUE(A6))), AND(ISNUMBER(A6), LEFT(CELL("format", A6))="D"))</formula1>
    </dataValidation>
  </dataValidations>
  <printOptions horizontalCentered="1"/>
  <pageMargins bottom="0.75" footer="0.0" header="0.0" left="0.25" right="0.25" top="0.75"/>
  <pageSetup paperSize="9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7.38"/>
    <col customWidth="1" min="3" max="3" width="15.88"/>
    <col customWidth="1" min="4" max="4" width="15.25"/>
    <col customWidth="1" min="5" max="5" width="9.38"/>
    <col customWidth="1" min="6" max="6" width="14.88"/>
    <col customWidth="1" min="7" max="7" width="10.38"/>
    <col customWidth="1" min="8" max="8" width="13.38"/>
    <col customWidth="1" min="9" max="9" width="28.75"/>
    <col customWidth="1" min="10" max="10" width="11.13"/>
    <col customWidth="1" min="11" max="26" width="11.0"/>
  </cols>
  <sheetData>
    <row r="1" ht="78.0" customHeight="1">
      <c r="A1" s="1"/>
    </row>
    <row r="2" ht="24.0" customHeight="1">
      <c r="A2" s="2" t="s">
        <v>0</v>
      </c>
      <c r="B2" s="3"/>
      <c r="C2" s="3"/>
      <c r="D2" s="3"/>
      <c r="E2" s="3"/>
      <c r="F2" s="3"/>
      <c r="G2" s="3"/>
      <c r="H2" s="3"/>
      <c r="I2" s="3"/>
      <c r="J2" s="4"/>
    </row>
    <row r="3" ht="10.5" customHeight="1">
      <c r="A3" s="5"/>
      <c r="B3" s="6"/>
      <c r="C3" s="6"/>
      <c r="D3" s="6"/>
      <c r="E3" s="6"/>
      <c r="F3" s="6"/>
      <c r="G3" s="6"/>
      <c r="H3" s="6"/>
      <c r="I3" s="6"/>
      <c r="J3" s="7"/>
    </row>
    <row r="4" ht="22.5" customHeight="1">
      <c r="A4" s="8" t="s">
        <v>1</v>
      </c>
      <c r="B4" s="9"/>
      <c r="C4" s="10" t="s">
        <v>2</v>
      </c>
      <c r="D4" s="11" t="s">
        <v>3</v>
      </c>
      <c r="E4" s="8" t="s">
        <v>4</v>
      </c>
      <c r="F4" s="12"/>
      <c r="G4" s="9"/>
      <c r="H4" s="13" t="s">
        <v>5</v>
      </c>
      <c r="I4" s="14" t="s">
        <v>6</v>
      </c>
      <c r="J4" s="9"/>
    </row>
    <row r="5" ht="22.5" customHeight="1">
      <c r="A5" s="8" t="s">
        <v>7</v>
      </c>
      <c r="B5" s="9"/>
      <c r="C5" s="15" t="s">
        <v>74</v>
      </c>
      <c r="D5" s="3"/>
      <c r="E5" s="3"/>
      <c r="F5" s="3"/>
      <c r="G5" s="3"/>
      <c r="H5" s="3"/>
      <c r="I5" s="3"/>
      <c r="J5" s="4"/>
    </row>
    <row r="6" ht="22.5" customHeight="1">
      <c r="A6" s="8" t="s">
        <v>9</v>
      </c>
      <c r="B6" s="9"/>
      <c r="C6" s="16">
        <v>46111.0</v>
      </c>
      <c r="D6" s="12"/>
      <c r="E6" s="12"/>
      <c r="F6" s="11" t="s">
        <v>10</v>
      </c>
      <c r="G6" s="16">
        <v>46111.0</v>
      </c>
      <c r="H6" s="12"/>
      <c r="I6" s="12"/>
      <c r="J6" s="17" t="s">
        <v>11</v>
      </c>
    </row>
    <row r="7" ht="22.5" customHeight="1">
      <c r="A7" s="18" t="s">
        <v>12</v>
      </c>
      <c r="B7" s="4"/>
      <c r="C7" s="19" t="s">
        <v>13</v>
      </c>
      <c r="D7" s="20" t="s">
        <v>14</v>
      </c>
      <c r="E7" s="7"/>
      <c r="F7" s="21" t="s">
        <v>15</v>
      </c>
      <c r="G7" s="7"/>
      <c r="H7" s="22" t="s">
        <v>16</v>
      </c>
      <c r="I7" s="20" t="s">
        <v>17</v>
      </c>
      <c r="J7" s="7"/>
    </row>
    <row r="8" ht="22.5" customHeight="1">
      <c r="A8" s="5"/>
      <c r="B8" s="7"/>
      <c r="C8" s="23"/>
      <c r="D8" s="11" t="s">
        <v>18</v>
      </c>
      <c r="E8" s="11" t="s">
        <v>19</v>
      </c>
      <c r="F8" s="11" t="s">
        <v>20</v>
      </c>
      <c r="G8" s="24" t="s">
        <v>19</v>
      </c>
      <c r="H8" s="24" t="s">
        <v>19</v>
      </c>
      <c r="I8" s="8" t="s">
        <v>21</v>
      </c>
      <c r="J8" s="9"/>
    </row>
    <row r="9">
      <c r="A9" s="16">
        <v>46111.0</v>
      </c>
      <c r="B9" s="12"/>
      <c r="C9" s="25" t="s">
        <v>95</v>
      </c>
      <c r="D9" s="26" t="s">
        <v>34</v>
      </c>
      <c r="E9" s="27">
        <v>603.0</v>
      </c>
      <c r="F9" s="28"/>
      <c r="G9" s="29"/>
      <c r="H9" s="30">
        <f>(G6-C6+1)*700*I15</f>
        <v>700</v>
      </c>
      <c r="I9" s="31"/>
      <c r="J9" s="9"/>
    </row>
    <row r="10">
      <c r="A10" s="16">
        <v>46111.0</v>
      </c>
      <c r="B10" s="12"/>
      <c r="C10" s="25" t="s">
        <v>56</v>
      </c>
      <c r="D10" s="26" t="s">
        <v>57</v>
      </c>
      <c r="E10" s="27">
        <f>790*2</f>
        <v>1580</v>
      </c>
      <c r="F10" s="32"/>
      <c r="G10" s="29"/>
      <c r="H10" s="33"/>
      <c r="I10" s="31" t="s">
        <v>38</v>
      </c>
      <c r="J10" s="9"/>
    </row>
    <row r="11">
      <c r="A11" s="16"/>
      <c r="B11" s="12"/>
      <c r="C11" s="25"/>
      <c r="D11" s="26"/>
      <c r="E11" s="27"/>
      <c r="F11" s="32"/>
      <c r="G11" s="29"/>
      <c r="H11" s="33"/>
      <c r="I11" s="31"/>
      <c r="J11" s="9"/>
    </row>
    <row r="12">
      <c r="A12" s="16"/>
      <c r="B12" s="12"/>
      <c r="C12" s="25"/>
      <c r="D12" s="26"/>
      <c r="E12" s="27"/>
      <c r="F12" s="32"/>
      <c r="G12" s="29"/>
      <c r="H12" s="33"/>
      <c r="I12" s="31"/>
      <c r="J12" s="9"/>
    </row>
    <row r="13">
      <c r="A13" s="16"/>
      <c r="B13" s="12"/>
      <c r="C13" s="25"/>
      <c r="D13" s="26"/>
      <c r="E13" s="27"/>
      <c r="F13" s="32"/>
      <c r="G13" s="29"/>
      <c r="H13" s="33"/>
      <c r="I13" s="31"/>
      <c r="J13" s="9"/>
    </row>
    <row r="14">
      <c r="A14" s="16"/>
      <c r="B14" s="12"/>
      <c r="C14" s="25"/>
      <c r="D14" s="26"/>
      <c r="E14" s="27"/>
      <c r="F14" s="32"/>
      <c r="G14" s="29"/>
      <c r="H14" s="33"/>
      <c r="I14" s="31"/>
      <c r="J14" s="9"/>
    </row>
    <row r="15" ht="20.25" customHeight="1">
      <c r="A15" s="34"/>
      <c r="B15" s="12"/>
      <c r="C15" s="35"/>
      <c r="D15" s="26"/>
      <c r="E15" s="29"/>
      <c r="F15" s="28"/>
      <c r="G15" s="29"/>
      <c r="H15" s="33"/>
      <c r="I15" s="31">
        <v>1.0</v>
      </c>
      <c r="J15" s="36" t="s">
        <v>26</v>
      </c>
    </row>
    <row r="16" ht="22.5" customHeight="1">
      <c r="A16" s="37" t="s">
        <v>27</v>
      </c>
      <c r="B16" s="12"/>
      <c r="C16" s="9"/>
      <c r="D16" s="38"/>
      <c r="E16" s="39">
        <f>SUM(E9:E15)</f>
        <v>2183</v>
      </c>
      <c r="F16" s="38"/>
      <c r="G16" s="39">
        <f>SUM(G9:G15)</f>
        <v>0</v>
      </c>
      <c r="H16" s="39">
        <f>sum(H9:H15)</f>
        <v>700</v>
      </c>
      <c r="I16" s="40">
        <f>SUM(E16:H16)</f>
        <v>2883</v>
      </c>
      <c r="J16" s="9"/>
    </row>
    <row r="17" ht="8.2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</row>
    <row r="18" ht="21.0" customHeight="1">
      <c r="A18" s="42" t="s">
        <v>28</v>
      </c>
      <c r="C18" s="43"/>
      <c r="D18" s="42" t="s">
        <v>29</v>
      </c>
      <c r="E18" s="43"/>
      <c r="F18" s="44" t="s">
        <v>30</v>
      </c>
      <c r="G18" s="43"/>
      <c r="H18" s="43"/>
      <c r="I18" s="45" t="s">
        <v>31</v>
      </c>
      <c r="J18" s="43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9.5" customHeight="1">
      <c r="A19" s="47"/>
      <c r="B19" s="47"/>
      <c r="C19" s="47"/>
      <c r="D19" s="47"/>
      <c r="E19" s="47"/>
      <c r="F19" s="47"/>
      <c r="G19" s="47"/>
      <c r="H19" s="47"/>
      <c r="I19" s="47"/>
      <c r="J19" s="47"/>
    </row>
    <row r="20" ht="12.75" customHeight="1">
      <c r="I20" s="48"/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33">
    <mergeCell ref="A1:J1"/>
    <mergeCell ref="A2:J3"/>
    <mergeCell ref="A4:B4"/>
    <mergeCell ref="E4:G4"/>
    <mergeCell ref="I4:J4"/>
    <mergeCell ref="A5:B5"/>
    <mergeCell ref="C5:J5"/>
    <mergeCell ref="A6:B6"/>
    <mergeCell ref="C6:E6"/>
    <mergeCell ref="G6:I6"/>
    <mergeCell ref="A7:B8"/>
    <mergeCell ref="C7:C8"/>
    <mergeCell ref="D7:E7"/>
    <mergeCell ref="F7:G7"/>
    <mergeCell ref="I13:J13"/>
    <mergeCell ref="I14:J14"/>
    <mergeCell ref="I7:J7"/>
    <mergeCell ref="I8:J8"/>
    <mergeCell ref="H9:H15"/>
    <mergeCell ref="I9:J9"/>
    <mergeCell ref="I10:J10"/>
    <mergeCell ref="I11:J11"/>
    <mergeCell ref="I12:J12"/>
    <mergeCell ref="I16:J16"/>
    <mergeCell ref="A16:C16"/>
    <mergeCell ref="A18:B18"/>
    <mergeCell ref="A9:B9"/>
    <mergeCell ref="A10:B10"/>
    <mergeCell ref="A11:B11"/>
    <mergeCell ref="A12:B12"/>
    <mergeCell ref="A13:B13"/>
    <mergeCell ref="A14:B14"/>
    <mergeCell ref="A15:B15"/>
  </mergeCells>
  <dataValidations>
    <dataValidation type="list" allowBlank="1" showErrorMessage="1" sqref="D9:D15">
      <formula1>"高鐵,計程車,台鐵,捷運,自行開車"</formula1>
    </dataValidation>
    <dataValidation type="list" allowBlank="1" showErrorMessage="1" sqref="E4">
      <formula1>"總公司,嶼嶼行銷,影音部"</formula1>
    </dataValidation>
    <dataValidation type="custom" allowBlank="1" showDropDown="1" showInputMessage="1" showErrorMessage="1" prompt="輸入有效日期" sqref="C6 G6 A9:A15">
      <formula1>OR(NOT(ISERROR(DATEVALUE(A6))), AND(ISNUMBER(A6), LEFT(CELL("format", A6))="D"))</formula1>
    </dataValidation>
  </dataValidations>
  <printOptions horizontalCentered="1"/>
  <pageMargins bottom="0.75" footer="0.0" header="0.0" left="0.25" right="0.25" top="0.75"/>
  <pageSetup paperSize="9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7.38"/>
    <col customWidth="1" min="3" max="3" width="15.88"/>
    <col customWidth="1" min="4" max="4" width="15.25"/>
    <col customWidth="1" min="5" max="5" width="9.38"/>
    <col customWidth="1" min="6" max="6" width="14.88"/>
    <col customWidth="1" min="7" max="7" width="10.38"/>
    <col customWidth="1" min="8" max="8" width="13.38"/>
    <col customWidth="1" min="9" max="9" width="28.75"/>
    <col customWidth="1" min="10" max="10" width="11.13"/>
    <col customWidth="1" min="11" max="26" width="11.0"/>
  </cols>
  <sheetData>
    <row r="1" ht="78.0" customHeight="1">
      <c r="A1" s="1"/>
    </row>
    <row r="2" ht="24.0" customHeight="1">
      <c r="A2" s="2" t="s">
        <v>0</v>
      </c>
      <c r="B2" s="3"/>
      <c r="C2" s="3"/>
      <c r="D2" s="3"/>
      <c r="E2" s="3"/>
      <c r="F2" s="3"/>
      <c r="G2" s="3"/>
      <c r="H2" s="3"/>
      <c r="I2" s="3"/>
      <c r="J2" s="4"/>
    </row>
    <row r="3" ht="10.5" customHeight="1">
      <c r="A3" s="5"/>
      <c r="B3" s="6"/>
      <c r="C3" s="6"/>
      <c r="D3" s="6"/>
      <c r="E3" s="6"/>
      <c r="F3" s="6"/>
      <c r="G3" s="6"/>
      <c r="H3" s="6"/>
      <c r="I3" s="6"/>
      <c r="J3" s="7"/>
    </row>
    <row r="4" ht="22.5" customHeight="1">
      <c r="A4" s="8" t="s">
        <v>1</v>
      </c>
      <c r="B4" s="9"/>
      <c r="C4" s="10" t="s">
        <v>2</v>
      </c>
      <c r="D4" s="11" t="s">
        <v>3</v>
      </c>
      <c r="E4" s="8" t="s">
        <v>4</v>
      </c>
      <c r="F4" s="12"/>
      <c r="G4" s="9"/>
      <c r="H4" s="13" t="s">
        <v>5</v>
      </c>
      <c r="I4" s="14" t="s">
        <v>6</v>
      </c>
      <c r="J4" s="9"/>
    </row>
    <row r="5" ht="22.5" customHeight="1">
      <c r="A5" s="8" t="s">
        <v>7</v>
      </c>
      <c r="B5" s="9"/>
      <c r="C5" s="15" t="s">
        <v>74</v>
      </c>
      <c r="D5" s="3"/>
      <c r="E5" s="3"/>
      <c r="F5" s="3"/>
      <c r="G5" s="3"/>
      <c r="H5" s="3"/>
      <c r="I5" s="3"/>
      <c r="J5" s="4"/>
    </row>
    <row r="6" ht="22.5" customHeight="1">
      <c r="A6" s="8" t="s">
        <v>9</v>
      </c>
      <c r="B6" s="9"/>
      <c r="C6" s="16">
        <v>46114.0</v>
      </c>
      <c r="D6" s="12"/>
      <c r="E6" s="12"/>
      <c r="F6" s="11" t="s">
        <v>10</v>
      </c>
      <c r="G6" s="16">
        <v>46114.0</v>
      </c>
      <c r="H6" s="12"/>
      <c r="I6" s="12"/>
      <c r="J6" s="17" t="s">
        <v>11</v>
      </c>
    </row>
    <row r="7" ht="22.5" customHeight="1">
      <c r="A7" s="18" t="s">
        <v>12</v>
      </c>
      <c r="B7" s="4"/>
      <c r="C7" s="19" t="s">
        <v>13</v>
      </c>
      <c r="D7" s="20" t="s">
        <v>14</v>
      </c>
      <c r="E7" s="7"/>
      <c r="F7" s="21" t="s">
        <v>15</v>
      </c>
      <c r="G7" s="7"/>
      <c r="H7" s="22" t="s">
        <v>16</v>
      </c>
      <c r="I7" s="20" t="s">
        <v>17</v>
      </c>
      <c r="J7" s="7"/>
    </row>
    <row r="8" ht="22.5" customHeight="1">
      <c r="A8" s="5"/>
      <c r="B8" s="7"/>
      <c r="C8" s="23"/>
      <c r="D8" s="11" t="s">
        <v>18</v>
      </c>
      <c r="E8" s="11" t="s">
        <v>19</v>
      </c>
      <c r="F8" s="11" t="s">
        <v>20</v>
      </c>
      <c r="G8" s="24" t="s">
        <v>19</v>
      </c>
      <c r="H8" s="24" t="s">
        <v>19</v>
      </c>
      <c r="I8" s="8" t="s">
        <v>21</v>
      </c>
      <c r="J8" s="9"/>
    </row>
    <row r="9">
      <c r="A9" s="16">
        <v>46114.0</v>
      </c>
      <c r="B9" s="12"/>
      <c r="C9" s="25" t="s">
        <v>95</v>
      </c>
      <c r="D9" s="26" t="s">
        <v>34</v>
      </c>
      <c r="E9" s="27">
        <v>617.0</v>
      </c>
      <c r="F9" s="28"/>
      <c r="G9" s="29"/>
      <c r="H9" s="30">
        <f>(G6-C6+1)*700*I15</f>
        <v>700</v>
      </c>
      <c r="I9" s="31"/>
      <c r="J9" s="9"/>
    </row>
    <row r="10">
      <c r="A10" s="16"/>
      <c r="B10" s="12"/>
      <c r="C10" s="25"/>
      <c r="D10" s="26"/>
      <c r="E10" s="27"/>
      <c r="F10" s="32"/>
      <c r="G10" s="29"/>
      <c r="H10" s="33"/>
      <c r="I10" s="31"/>
      <c r="J10" s="9"/>
    </row>
    <row r="11">
      <c r="A11" s="16"/>
      <c r="B11" s="12"/>
      <c r="C11" s="25"/>
      <c r="D11" s="26"/>
      <c r="E11" s="27"/>
      <c r="F11" s="32"/>
      <c r="G11" s="29"/>
      <c r="H11" s="33"/>
      <c r="I11" s="31"/>
      <c r="J11" s="9"/>
    </row>
    <row r="12">
      <c r="A12" s="16"/>
      <c r="B12" s="12"/>
      <c r="C12" s="25"/>
      <c r="D12" s="26"/>
      <c r="E12" s="27"/>
      <c r="F12" s="32"/>
      <c r="G12" s="29"/>
      <c r="H12" s="33"/>
      <c r="I12" s="31"/>
      <c r="J12" s="9"/>
    </row>
    <row r="13">
      <c r="A13" s="16"/>
      <c r="B13" s="12"/>
      <c r="C13" s="25"/>
      <c r="D13" s="26"/>
      <c r="E13" s="27"/>
      <c r="F13" s="32"/>
      <c r="G13" s="29"/>
      <c r="H13" s="33"/>
      <c r="I13" s="31"/>
      <c r="J13" s="9"/>
    </row>
    <row r="14">
      <c r="A14" s="16"/>
      <c r="B14" s="12"/>
      <c r="C14" s="25"/>
      <c r="D14" s="26"/>
      <c r="E14" s="27"/>
      <c r="F14" s="32"/>
      <c r="G14" s="29"/>
      <c r="H14" s="33"/>
      <c r="I14" s="31"/>
      <c r="J14" s="9"/>
    </row>
    <row r="15" ht="20.25" customHeight="1">
      <c r="A15" s="34"/>
      <c r="B15" s="12"/>
      <c r="C15" s="35"/>
      <c r="D15" s="26"/>
      <c r="E15" s="29"/>
      <c r="F15" s="28"/>
      <c r="G15" s="29"/>
      <c r="H15" s="33"/>
      <c r="I15" s="31">
        <v>1.0</v>
      </c>
      <c r="J15" s="36" t="s">
        <v>26</v>
      </c>
    </row>
    <row r="16" ht="22.5" customHeight="1">
      <c r="A16" s="37" t="s">
        <v>27</v>
      </c>
      <c r="B16" s="12"/>
      <c r="C16" s="9"/>
      <c r="D16" s="38"/>
      <c r="E16" s="39">
        <f>SUM(E9:E15)</f>
        <v>617</v>
      </c>
      <c r="F16" s="38"/>
      <c r="G16" s="39">
        <f>SUM(G9:G15)</f>
        <v>0</v>
      </c>
      <c r="H16" s="39">
        <f>sum(H9:H15)</f>
        <v>700</v>
      </c>
      <c r="I16" s="40">
        <f>SUM(E16:H16)</f>
        <v>1317</v>
      </c>
      <c r="J16" s="9"/>
    </row>
    <row r="17" ht="8.2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</row>
    <row r="18" ht="21.0" customHeight="1">
      <c r="A18" s="42" t="s">
        <v>28</v>
      </c>
      <c r="C18" s="43"/>
      <c r="D18" s="42" t="s">
        <v>29</v>
      </c>
      <c r="E18" s="43"/>
      <c r="F18" s="44" t="s">
        <v>30</v>
      </c>
      <c r="G18" s="43"/>
      <c r="H18" s="43"/>
      <c r="I18" s="45" t="s">
        <v>31</v>
      </c>
      <c r="J18" s="43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9.5" customHeight="1">
      <c r="A19" s="47"/>
      <c r="B19" s="47"/>
      <c r="C19" s="47"/>
      <c r="D19" s="47"/>
      <c r="E19" s="47"/>
      <c r="F19" s="47"/>
      <c r="G19" s="47"/>
      <c r="H19" s="47"/>
      <c r="I19" s="47"/>
      <c r="J19" s="47"/>
    </row>
    <row r="20" ht="12.75" customHeight="1">
      <c r="I20" s="48"/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33">
    <mergeCell ref="A1:J1"/>
    <mergeCell ref="A2:J3"/>
    <mergeCell ref="A4:B4"/>
    <mergeCell ref="E4:G4"/>
    <mergeCell ref="I4:J4"/>
    <mergeCell ref="A5:B5"/>
    <mergeCell ref="C5:J5"/>
    <mergeCell ref="A6:B6"/>
    <mergeCell ref="C6:E6"/>
    <mergeCell ref="G6:I6"/>
    <mergeCell ref="A7:B8"/>
    <mergeCell ref="C7:C8"/>
    <mergeCell ref="D7:E7"/>
    <mergeCell ref="F7:G7"/>
    <mergeCell ref="I13:J13"/>
    <mergeCell ref="I14:J14"/>
    <mergeCell ref="I7:J7"/>
    <mergeCell ref="I8:J8"/>
    <mergeCell ref="H9:H15"/>
    <mergeCell ref="I9:J9"/>
    <mergeCell ref="I10:J10"/>
    <mergeCell ref="I11:J11"/>
    <mergeCell ref="I12:J12"/>
    <mergeCell ref="I16:J16"/>
    <mergeCell ref="A16:C16"/>
    <mergeCell ref="A18:B18"/>
    <mergeCell ref="A9:B9"/>
    <mergeCell ref="A10:B10"/>
    <mergeCell ref="A11:B11"/>
    <mergeCell ref="A12:B12"/>
    <mergeCell ref="A13:B13"/>
    <mergeCell ref="A14:B14"/>
    <mergeCell ref="A15:B15"/>
  </mergeCells>
  <dataValidations>
    <dataValidation type="list" allowBlank="1" showErrorMessage="1" sqref="D9:D15">
      <formula1>"高鐵,計程車,台鐵,捷運,自行開車"</formula1>
    </dataValidation>
    <dataValidation type="list" allowBlank="1" showErrorMessage="1" sqref="E4">
      <formula1>"總公司,嶼嶼行銷,影音部"</formula1>
    </dataValidation>
    <dataValidation type="custom" allowBlank="1" showDropDown="1" showInputMessage="1" showErrorMessage="1" prompt="輸入有效日期" sqref="C6 G6 A9:A15">
      <formula1>OR(NOT(ISERROR(DATEVALUE(A6))), AND(ISNUMBER(A6), LEFT(CELL("format", A6))="D"))</formula1>
    </dataValidation>
  </dataValidations>
  <printOptions horizontalCentered="1"/>
  <pageMargins bottom="0.75" footer="0.0" header="0.0" left="0.25" right="0.25" top="0.75"/>
  <pageSetup paperSize="9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7.38"/>
    <col customWidth="1" min="3" max="3" width="15.88"/>
    <col customWidth="1" min="4" max="4" width="15.25"/>
    <col customWidth="1" min="5" max="5" width="9.38"/>
    <col customWidth="1" min="6" max="6" width="14.88"/>
    <col customWidth="1" min="7" max="7" width="10.38"/>
    <col customWidth="1" min="8" max="8" width="13.38"/>
    <col customWidth="1" min="9" max="9" width="28.75"/>
    <col customWidth="1" min="10" max="10" width="11.13"/>
    <col customWidth="1" min="11" max="26" width="11.0"/>
  </cols>
  <sheetData>
    <row r="1" ht="78.0" customHeight="1">
      <c r="A1" s="1"/>
    </row>
    <row r="2" ht="24.0" customHeight="1">
      <c r="A2" s="2" t="s">
        <v>0</v>
      </c>
      <c r="B2" s="3"/>
      <c r="C2" s="3"/>
      <c r="D2" s="3"/>
      <c r="E2" s="3"/>
      <c r="F2" s="3"/>
      <c r="G2" s="3"/>
      <c r="H2" s="3"/>
      <c r="I2" s="3"/>
      <c r="J2" s="4"/>
    </row>
    <row r="3" ht="10.5" customHeight="1">
      <c r="A3" s="5"/>
      <c r="B3" s="6"/>
      <c r="C3" s="6"/>
      <c r="D3" s="6"/>
      <c r="E3" s="6"/>
      <c r="F3" s="6"/>
      <c r="G3" s="6"/>
      <c r="H3" s="6"/>
      <c r="I3" s="6"/>
      <c r="J3" s="7"/>
    </row>
    <row r="4" ht="22.5" customHeight="1">
      <c r="A4" s="8" t="s">
        <v>1</v>
      </c>
      <c r="B4" s="9"/>
      <c r="C4" s="10" t="s">
        <v>2</v>
      </c>
      <c r="D4" s="11" t="s">
        <v>3</v>
      </c>
      <c r="E4" s="8" t="s">
        <v>4</v>
      </c>
      <c r="F4" s="12"/>
      <c r="G4" s="9"/>
      <c r="H4" s="13" t="s">
        <v>5</v>
      </c>
      <c r="I4" s="14" t="s">
        <v>6</v>
      </c>
      <c r="J4" s="9"/>
    </row>
    <row r="5" ht="22.5" customHeight="1">
      <c r="A5" s="8" t="s">
        <v>7</v>
      </c>
      <c r="B5" s="9"/>
      <c r="C5" s="15" t="s">
        <v>53</v>
      </c>
      <c r="D5" s="3"/>
      <c r="E5" s="3"/>
      <c r="F5" s="3"/>
      <c r="G5" s="3"/>
      <c r="H5" s="3"/>
      <c r="I5" s="3"/>
      <c r="J5" s="4"/>
    </row>
    <row r="6" ht="22.5" customHeight="1">
      <c r="A6" s="8" t="s">
        <v>9</v>
      </c>
      <c r="B6" s="9"/>
      <c r="C6" s="16">
        <v>46120.0</v>
      </c>
      <c r="D6" s="12"/>
      <c r="E6" s="12"/>
      <c r="F6" s="11" t="s">
        <v>10</v>
      </c>
      <c r="G6" s="16">
        <v>46120.0</v>
      </c>
      <c r="H6" s="12"/>
      <c r="I6" s="12"/>
      <c r="J6" s="17" t="s">
        <v>11</v>
      </c>
    </row>
    <row r="7" ht="22.5" customHeight="1">
      <c r="A7" s="18" t="s">
        <v>12</v>
      </c>
      <c r="B7" s="4"/>
      <c r="C7" s="19" t="s">
        <v>13</v>
      </c>
      <c r="D7" s="20" t="s">
        <v>14</v>
      </c>
      <c r="E7" s="7"/>
      <c r="F7" s="21" t="s">
        <v>15</v>
      </c>
      <c r="G7" s="7"/>
      <c r="H7" s="22" t="s">
        <v>16</v>
      </c>
      <c r="I7" s="20" t="s">
        <v>17</v>
      </c>
      <c r="J7" s="7"/>
    </row>
    <row r="8" ht="22.5" customHeight="1">
      <c r="A8" s="5"/>
      <c r="B8" s="7"/>
      <c r="C8" s="23"/>
      <c r="D8" s="11" t="s">
        <v>18</v>
      </c>
      <c r="E8" s="11" t="s">
        <v>19</v>
      </c>
      <c r="F8" s="11" t="s">
        <v>20</v>
      </c>
      <c r="G8" s="24" t="s">
        <v>19</v>
      </c>
      <c r="H8" s="24" t="s">
        <v>19</v>
      </c>
      <c r="I8" s="8" t="s">
        <v>21</v>
      </c>
      <c r="J8" s="9"/>
    </row>
    <row r="9">
      <c r="A9" s="16">
        <v>46120.0</v>
      </c>
      <c r="B9" s="12"/>
      <c r="C9" s="25" t="s">
        <v>95</v>
      </c>
      <c r="D9" s="26" t="s">
        <v>34</v>
      </c>
      <c r="E9" s="27">
        <v>456.0</v>
      </c>
      <c r="F9" s="28"/>
      <c r="G9" s="29"/>
      <c r="H9" s="30">
        <f>(G6-C6+1)*700*I15</f>
        <v>700</v>
      </c>
      <c r="I9" s="31"/>
      <c r="J9" s="9"/>
    </row>
    <row r="10">
      <c r="A10" s="16">
        <v>46120.0</v>
      </c>
      <c r="B10" s="12"/>
      <c r="C10" s="25" t="s">
        <v>96</v>
      </c>
      <c r="D10" s="26" t="s">
        <v>55</v>
      </c>
      <c r="E10" s="27">
        <v>45.0</v>
      </c>
      <c r="F10" s="32"/>
      <c r="G10" s="29"/>
      <c r="H10" s="33"/>
      <c r="I10" s="31"/>
      <c r="J10" s="9"/>
    </row>
    <row r="11">
      <c r="A11" s="16"/>
      <c r="B11" s="12"/>
      <c r="C11" s="25"/>
      <c r="D11" s="26"/>
      <c r="E11" s="27"/>
      <c r="F11" s="32"/>
      <c r="G11" s="29"/>
      <c r="H11" s="33"/>
      <c r="I11" s="31"/>
      <c r="J11" s="9"/>
    </row>
    <row r="12">
      <c r="A12" s="16"/>
      <c r="B12" s="12"/>
      <c r="C12" s="25"/>
      <c r="D12" s="26"/>
      <c r="E12" s="27"/>
      <c r="F12" s="32"/>
      <c r="G12" s="29"/>
      <c r="H12" s="33"/>
      <c r="I12" s="31"/>
      <c r="J12" s="9"/>
    </row>
    <row r="13">
      <c r="A13" s="16"/>
      <c r="B13" s="12"/>
      <c r="C13" s="25"/>
      <c r="D13" s="26"/>
      <c r="E13" s="27"/>
      <c r="F13" s="32"/>
      <c r="G13" s="29"/>
      <c r="H13" s="33"/>
      <c r="I13" s="31"/>
      <c r="J13" s="9"/>
    </row>
    <row r="14">
      <c r="A14" s="16"/>
      <c r="B14" s="12"/>
      <c r="C14" s="25"/>
      <c r="D14" s="26"/>
      <c r="E14" s="27"/>
      <c r="F14" s="32"/>
      <c r="G14" s="29"/>
      <c r="H14" s="33"/>
      <c r="I14" s="31"/>
      <c r="J14" s="9"/>
    </row>
    <row r="15" ht="20.25" customHeight="1">
      <c r="A15" s="34"/>
      <c r="B15" s="12"/>
      <c r="C15" s="35"/>
      <c r="D15" s="26"/>
      <c r="E15" s="29"/>
      <c r="F15" s="28"/>
      <c r="G15" s="29"/>
      <c r="H15" s="33"/>
      <c r="I15" s="31">
        <v>1.0</v>
      </c>
      <c r="J15" s="36" t="s">
        <v>26</v>
      </c>
    </row>
    <row r="16" ht="22.5" customHeight="1">
      <c r="A16" s="37" t="s">
        <v>27</v>
      </c>
      <c r="B16" s="12"/>
      <c r="C16" s="9"/>
      <c r="D16" s="38"/>
      <c r="E16" s="39">
        <f>SUM(E9:E15)</f>
        <v>501</v>
      </c>
      <c r="F16" s="38"/>
      <c r="G16" s="39">
        <f>SUM(G9:G15)</f>
        <v>0</v>
      </c>
      <c r="H16" s="39">
        <f>sum(H9:H15)</f>
        <v>700</v>
      </c>
      <c r="I16" s="40">
        <f>SUM(E16:H16)</f>
        <v>1201</v>
      </c>
      <c r="J16" s="9"/>
    </row>
    <row r="17" ht="8.2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</row>
    <row r="18" ht="21.0" customHeight="1">
      <c r="A18" s="42" t="s">
        <v>28</v>
      </c>
      <c r="C18" s="43"/>
      <c r="D18" s="42" t="s">
        <v>29</v>
      </c>
      <c r="E18" s="43"/>
      <c r="F18" s="44" t="s">
        <v>30</v>
      </c>
      <c r="G18" s="43"/>
      <c r="H18" s="43"/>
      <c r="I18" s="45" t="s">
        <v>31</v>
      </c>
      <c r="J18" s="43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9.5" customHeight="1">
      <c r="A19" s="47"/>
      <c r="B19" s="47"/>
      <c r="C19" s="47"/>
      <c r="D19" s="47"/>
      <c r="E19" s="47"/>
      <c r="F19" s="47"/>
      <c r="G19" s="47"/>
      <c r="H19" s="47"/>
      <c r="I19" s="47"/>
      <c r="J19" s="47"/>
    </row>
    <row r="20" ht="12.75" customHeight="1">
      <c r="I20" s="48"/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33">
    <mergeCell ref="A1:J1"/>
    <mergeCell ref="A2:J3"/>
    <mergeCell ref="A4:B4"/>
    <mergeCell ref="E4:G4"/>
    <mergeCell ref="I4:J4"/>
    <mergeCell ref="A5:B5"/>
    <mergeCell ref="C5:J5"/>
    <mergeCell ref="A6:B6"/>
    <mergeCell ref="C6:E6"/>
    <mergeCell ref="G6:I6"/>
    <mergeCell ref="A7:B8"/>
    <mergeCell ref="C7:C8"/>
    <mergeCell ref="D7:E7"/>
    <mergeCell ref="F7:G7"/>
    <mergeCell ref="I13:J13"/>
    <mergeCell ref="I14:J14"/>
    <mergeCell ref="I7:J7"/>
    <mergeCell ref="I8:J8"/>
    <mergeCell ref="H9:H15"/>
    <mergeCell ref="I9:J9"/>
    <mergeCell ref="I10:J10"/>
    <mergeCell ref="I11:J11"/>
    <mergeCell ref="I12:J12"/>
    <mergeCell ref="I16:J16"/>
    <mergeCell ref="A16:C16"/>
    <mergeCell ref="A18:B18"/>
    <mergeCell ref="A9:B9"/>
    <mergeCell ref="A10:B10"/>
    <mergeCell ref="A11:B11"/>
    <mergeCell ref="A12:B12"/>
    <mergeCell ref="A13:B13"/>
    <mergeCell ref="A14:B14"/>
    <mergeCell ref="A15:B15"/>
  </mergeCells>
  <dataValidations>
    <dataValidation type="list" allowBlank="1" showErrorMessage="1" sqref="D9:D15">
      <formula1>"高鐵,計程車,台鐵,捷運,自行開車"</formula1>
    </dataValidation>
    <dataValidation type="list" allowBlank="1" showErrorMessage="1" sqref="E4">
      <formula1>"總公司,嶼嶼行銷,影音部"</formula1>
    </dataValidation>
    <dataValidation type="custom" allowBlank="1" showDropDown="1" showInputMessage="1" showErrorMessage="1" prompt="輸入有效日期" sqref="C6 G6 A9:A15">
      <formula1>OR(NOT(ISERROR(DATEVALUE(A6))), AND(ISNUMBER(A6), LEFT(CELL("format", A6))="D"))</formula1>
    </dataValidation>
  </dataValidations>
  <printOptions horizontalCentered="1"/>
  <pageMargins bottom="0.75" footer="0.0" header="0.0" left="0.25" right="0.25" top="0.75"/>
  <pageSetup paperSize="9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7.38"/>
    <col customWidth="1" min="3" max="3" width="15.88"/>
    <col customWidth="1" min="4" max="4" width="15.25"/>
    <col customWidth="1" min="5" max="5" width="9.38"/>
    <col customWidth="1" min="6" max="6" width="14.88"/>
    <col customWidth="1" min="7" max="7" width="10.38"/>
    <col customWidth="1" min="8" max="8" width="13.38"/>
    <col customWidth="1" min="9" max="9" width="28.75"/>
    <col customWidth="1" min="10" max="10" width="11.13"/>
    <col customWidth="1" min="11" max="26" width="11.0"/>
  </cols>
  <sheetData>
    <row r="1" ht="78.0" customHeight="1">
      <c r="A1" s="1"/>
    </row>
    <row r="2" ht="24.0" customHeight="1">
      <c r="A2" s="2" t="s">
        <v>0</v>
      </c>
      <c r="B2" s="3"/>
      <c r="C2" s="3"/>
      <c r="D2" s="3"/>
      <c r="E2" s="3"/>
      <c r="F2" s="3"/>
      <c r="G2" s="3"/>
      <c r="H2" s="3"/>
      <c r="I2" s="3"/>
      <c r="J2" s="4"/>
    </row>
    <row r="3" ht="10.5" customHeight="1">
      <c r="A3" s="5"/>
      <c r="B3" s="6"/>
      <c r="C3" s="6"/>
      <c r="D3" s="6"/>
      <c r="E3" s="6"/>
      <c r="F3" s="6"/>
      <c r="G3" s="6"/>
      <c r="H3" s="6"/>
      <c r="I3" s="6"/>
      <c r="J3" s="7"/>
    </row>
    <row r="4" ht="22.5" customHeight="1">
      <c r="A4" s="8" t="s">
        <v>1</v>
      </c>
      <c r="B4" s="9"/>
      <c r="C4" s="10" t="s">
        <v>2</v>
      </c>
      <c r="D4" s="11" t="s">
        <v>3</v>
      </c>
      <c r="E4" s="8" t="s">
        <v>4</v>
      </c>
      <c r="F4" s="12"/>
      <c r="G4" s="9"/>
      <c r="H4" s="13" t="s">
        <v>5</v>
      </c>
      <c r="I4" s="14" t="s">
        <v>6</v>
      </c>
      <c r="J4" s="9"/>
    </row>
    <row r="5" ht="22.5" customHeight="1">
      <c r="A5" s="8" t="s">
        <v>7</v>
      </c>
      <c r="B5" s="9"/>
      <c r="C5" s="15" t="s">
        <v>32</v>
      </c>
      <c r="D5" s="3"/>
      <c r="E5" s="3"/>
      <c r="F5" s="3"/>
      <c r="G5" s="3"/>
      <c r="H5" s="3"/>
      <c r="I5" s="3"/>
      <c r="J5" s="4"/>
    </row>
    <row r="6" ht="22.5" customHeight="1">
      <c r="A6" s="8" t="s">
        <v>9</v>
      </c>
      <c r="B6" s="9"/>
      <c r="C6" s="16">
        <v>46125.0</v>
      </c>
      <c r="D6" s="12"/>
      <c r="E6" s="12"/>
      <c r="F6" s="11" t="s">
        <v>10</v>
      </c>
      <c r="G6" s="16">
        <v>46125.0</v>
      </c>
      <c r="H6" s="12"/>
      <c r="I6" s="12"/>
      <c r="J6" s="17" t="s">
        <v>11</v>
      </c>
    </row>
    <row r="7" ht="22.5" customHeight="1">
      <c r="A7" s="18" t="s">
        <v>12</v>
      </c>
      <c r="B7" s="4"/>
      <c r="C7" s="19" t="s">
        <v>13</v>
      </c>
      <c r="D7" s="20" t="s">
        <v>14</v>
      </c>
      <c r="E7" s="7"/>
      <c r="F7" s="21" t="s">
        <v>15</v>
      </c>
      <c r="G7" s="7"/>
      <c r="H7" s="22" t="s">
        <v>16</v>
      </c>
      <c r="I7" s="20" t="s">
        <v>17</v>
      </c>
      <c r="J7" s="7"/>
    </row>
    <row r="8" ht="22.5" customHeight="1">
      <c r="A8" s="5"/>
      <c r="B8" s="7"/>
      <c r="C8" s="23"/>
      <c r="D8" s="11" t="s">
        <v>18</v>
      </c>
      <c r="E8" s="11" t="s">
        <v>19</v>
      </c>
      <c r="F8" s="11" t="s">
        <v>20</v>
      </c>
      <c r="G8" s="24" t="s">
        <v>19</v>
      </c>
      <c r="H8" s="24" t="s">
        <v>19</v>
      </c>
      <c r="I8" s="8" t="s">
        <v>21</v>
      </c>
      <c r="J8" s="9"/>
    </row>
    <row r="9">
      <c r="A9" s="16">
        <v>46125.0</v>
      </c>
      <c r="B9" s="12"/>
      <c r="C9" s="25" t="s">
        <v>95</v>
      </c>
      <c r="D9" s="26" t="s">
        <v>34</v>
      </c>
      <c r="E9" s="27">
        <v>478.0</v>
      </c>
      <c r="F9" s="28"/>
      <c r="G9" s="29"/>
      <c r="H9" s="30">
        <f>(G6-C6+1)*700*I15</f>
        <v>700</v>
      </c>
      <c r="I9" s="31"/>
      <c r="J9" s="9"/>
    </row>
    <row r="10">
      <c r="A10" s="16"/>
      <c r="B10" s="12"/>
      <c r="C10" s="25"/>
      <c r="D10" s="26"/>
      <c r="E10" s="27"/>
      <c r="F10" s="32"/>
      <c r="G10" s="29"/>
      <c r="H10" s="33"/>
      <c r="I10" s="31"/>
      <c r="J10" s="9"/>
    </row>
    <row r="11">
      <c r="A11" s="16"/>
      <c r="B11" s="12"/>
      <c r="C11" s="25"/>
      <c r="D11" s="26"/>
      <c r="E11" s="27"/>
      <c r="F11" s="32"/>
      <c r="G11" s="29"/>
      <c r="H11" s="33"/>
      <c r="I11" s="31"/>
      <c r="J11" s="9"/>
    </row>
    <row r="12">
      <c r="A12" s="16"/>
      <c r="B12" s="12"/>
      <c r="C12" s="25"/>
      <c r="D12" s="26"/>
      <c r="E12" s="27"/>
      <c r="F12" s="32"/>
      <c r="G12" s="29"/>
      <c r="H12" s="33"/>
      <c r="I12" s="31"/>
      <c r="J12" s="9"/>
    </row>
    <row r="13">
      <c r="A13" s="16"/>
      <c r="B13" s="12"/>
      <c r="C13" s="25"/>
      <c r="D13" s="26"/>
      <c r="E13" s="27"/>
      <c r="F13" s="32"/>
      <c r="G13" s="29"/>
      <c r="H13" s="33"/>
      <c r="I13" s="31"/>
      <c r="J13" s="9"/>
    </row>
    <row r="14">
      <c r="A14" s="16"/>
      <c r="B14" s="12"/>
      <c r="C14" s="25"/>
      <c r="D14" s="26"/>
      <c r="E14" s="27"/>
      <c r="F14" s="32"/>
      <c r="G14" s="29"/>
      <c r="H14" s="33"/>
      <c r="I14" s="31"/>
      <c r="J14" s="9"/>
    </row>
    <row r="15" ht="20.25" customHeight="1">
      <c r="A15" s="34"/>
      <c r="B15" s="12"/>
      <c r="C15" s="35"/>
      <c r="D15" s="26"/>
      <c r="E15" s="29"/>
      <c r="F15" s="28"/>
      <c r="G15" s="29"/>
      <c r="H15" s="33"/>
      <c r="I15" s="31">
        <v>1.0</v>
      </c>
      <c r="J15" s="36" t="s">
        <v>26</v>
      </c>
    </row>
    <row r="16" ht="22.5" customHeight="1">
      <c r="A16" s="37" t="s">
        <v>27</v>
      </c>
      <c r="B16" s="12"/>
      <c r="C16" s="9"/>
      <c r="D16" s="38"/>
      <c r="E16" s="39">
        <f>SUM(E9:E15)</f>
        <v>478</v>
      </c>
      <c r="F16" s="38"/>
      <c r="G16" s="39">
        <f>SUM(G9:G15)</f>
        <v>0</v>
      </c>
      <c r="H16" s="39">
        <f>sum(H9:H15)</f>
        <v>700</v>
      </c>
      <c r="I16" s="40">
        <f>SUM(E16:H16)</f>
        <v>1178</v>
      </c>
      <c r="J16" s="9"/>
    </row>
    <row r="17" ht="8.2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</row>
    <row r="18" ht="21.0" customHeight="1">
      <c r="A18" s="42" t="s">
        <v>28</v>
      </c>
      <c r="C18" s="43"/>
      <c r="D18" s="42" t="s">
        <v>29</v>
      </c>
      <c r="E18" s="43"/>
      <c r="F18" s="44" t="s">
        <v>30</v>
      </c>
      <c r="G18" s="43"/>
      <c r="H18" s="43"/>
      <c r="I18" s="45" t="s">
        <v>31</v>
      </c>
      <c r="J18" s="43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9.5" customHeight="1">
      <c r="A19" s="47"/>
      <c r="B19" s="47"/>
      <c r="C19" s="47"/>
      <c r="D19" s="47"/>
      <c r="E19" s="47"/>
      <c r="F19" s="47"/>
      <c r="G19" s="47"/>
      <c r="H19" s="47"/>
      <c r="I19" s="47"/>
      <c r="J19" s="47"/>
    </row>
    <row r="20" ht="12.75" customHeight="1">
      <c r="I20" s="48"/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33">
    <mergeCell ref="A1:J1"/>
    <mergeCell ref="A2:J3"/>
    <mergeCell ref="A4:B4"/>
    <mergeCell ref="E4:G4"/>
    <mergeCell ref="I4:J4"/>
    <mergeCell ref="A5:B5"/>
    <mergeCell ref="C5:J5"/>
    <mergeCell ref="A6:B6"/>
    <mergeCell ref="C6:E6"/>
    <mergeCell ref="G6:I6"/>
    <mergeCell ref="A7:B8"/>
    <mergeCell ref="C7:C8"/>
    <mergeCell ref="D7:E7"/>
    <mergeCell ref="F7:G7"/>
    <mergeCell ref="I13:J13"/>
    <mergeCell ref="I14:J14"/>
    <mergeCell ref="I7:J7"/>
    <mergeCell ref="I8:J8"/>
    <mergeCell ref="H9:H15"/>
    <mergeCell ref="I9:J9"/>
    <mergeCell ref="I10:J10"/>
    <mergeCell ref="I11:J11"/>
    <mergeCell ref="I12:J12"/>
    <mergeCell ref="I16:J16"/>
    <mergeCell ref="A16:C16"/>
    <mergeCell ref="A18:B18"/>
    <mergeCell ref="A9:B9"/>
    <mergeCell ref="A10:B10"/>
    <mergeCell ref="A11:B11"/>
    <mergeCell ref="A12:B12"/>
    <mergeCell ref="A13:B13"/>
    <mergeCell ref="A14:B14"/>
    <mergeCell ref="A15:B15"/>
  </mergeCells>
  <dataValidations>
    <dataValidation type="list" allowBlank="1" showErrorMessage="1" sqref="D9:D15">
      <formula1>"高鐵,計程車,台鐵,捷運,自行開車"</formula1>
    </dataValidation>
    <dataValidation type="list" allowBlank="1" showErrorMessage="1" sqref="E4">
      <formula1>"總公司,嶼嶼行銷,影音部"</formula1>
    </dataValidation>
    <dataValidation type="custom" allowBlank="1" showDropDown="1" showInputMessage="1" showErrorMessage="1" prompt="輸入有效日期" sqref="C6 G6 A9:A15">
      <formula1>OR(NOT(ISERROR(DATEVALUE(A6))), AND(ISNUMBER(A6), LEFT(CELL("format", A6))="D"))</formula1>
    </dataValidation>
  </dataValidations>
  <printOptions horizontalCentered="1"/>
  <pageMargins bottom="0.75" footer="0.0" header="0.0" left="0.25" right="0.25" top="0.75"/>
  <pageSetup paperSize="9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7.38"/>
    <col customWidth="1" min="3" max="3" width="15.88"/>
    <col customWidth="1" min="4" max="4" width="15.25"/>
    <col customWidth="1" min="5" max="5" width="9.38"/>
    <col customWidth="1" min="6" max="6" width="14.88"/>
    <col customWidth="1" min="7" max="7" width="10.38"/>
    <col customWidth="1" min="8" max="8" width="13.38"/>
    <col customWidth="1" min="9" max="9" width="28.75"/>
    <col customWidth="1" min="10" max="10" width="11.13"/>
    <col customWidth="1" min="11" max="26" width="11.0"/>
  </cols>
  <sheetData>
    <row r="1" ht="78.0" customHeight="1">
      <c r="A1" s="1"/>
    </row>
    <row r="2" ht="24.0" customHeight="1">
      <c r="A2" s="2" t="s">
        <v>0</v>
      </c>
      <c r="B2" s="3"/>
      <c r="C2" s="3"/>
      <c r="D2" s="3"/>
      <c r="E2" s="3"/>
      <c r="F2" s="3"/>
      <c r="G2" s="3"/>
      <c r="H2" s="3"/>
      <c r="I2" s="3"/>
      <c r="J2" s="4"/>
    </row>
    <row r="3" ht="10.5" customHeight="1">
      <c r="A3" s="5"/>
      <c r="B3" s="6"/>
      <c r="C3" s="6"/>
      <c r="D3" s="6"/>
      <c r="E3" s="6"/>
      <c r="F3" s="6"/>
      <c r="G3" s="6"/>
      <c r="H3" s="6"/>
      <c r="I3" s="6"/>
      <c r="J3" s="7"/>
    </row>
    <row r="4" ht="22.5" customHeight="1">
      <c r="A4" s="8" t="s">
        <v>1</v>
      </c>
      <c r="B4" s="9"/>
      <c r="C4" s="10" t="s">
        <v>2</v>
      </c>
      <c r="D4" s="11" t="s">
        <v>3</v>
      </c>
      <c r="E4" s="8" t="s">
        <v>4</v>
      </c>
      <c r="F4" s="12"/>
      <c r="G4" s="9"/>
      <c r="H4" s="13" t="s">
        <v>5</v>
      </c>
      <c r="I4" s="14" t="s">
        <v>6</v>
      </c>
      <c r="J4" s="9"/>
    </row>
    <row r="5" ht="22.5" customHeight="1">
      <c r="A5" s="8" t="s">
        <v>7</v>
      </c>
      <c r="B5" s="9"/>
      <c r="C5" s="15" t="s">
        <v>97</v>
      </c>
      <c r="D5" s="3"/>
      <c r="E5" s="3"/>
      <c r="F5" s="3"/>
      <c r="G5" s="3"/>
      <c r="H5" s="3"/>
      <c r="I5" s="3"/>
      <c r="J5" s="4"/>
    </row>
    <row r="6" ht="22.5" customHeight="1">
      <c r="A6" s="8" t="s">
        <v>9</v>
      </c>
      <c r="B6" s="9"/>
      <c r="C6" s="16">
        <v>46126.0</v>
      </c>
      <c r="D6" s="12"/>
      <c r="E6" s="12"/>
      <c r="F6" s="11" t="s">
        <v>10</v>
      </c>
      <c r="G6" s="16">
        <v>46126.0</v>
      </c>
      <c r="H6" s="12"/>
      <c r="I6" s="12"/>
      <c r="J6" s="17" t="s">
        <v>11</v>
      </c>
    </row>
    <row r="7" ht="22.5" customHeight="1">
      <c r="A7" s="18" t="s">
        <v>12</v>
      </c>
      <c r="B7" s="4"/>
      <c r="C7" s="19" t="s">
        <v>13</v>
      </c>
      <c r="D7" s="20" t="s">
        <v>14</v>
      </c>
      <c r="E7" s="7"/>
      <c r="F7" s="21" t="s">
        <v>15</v>
      </c>
      <c r="G7" s="7"/>
      <c r="H7" s="22" t="s">
        <v>16</v>
      </c>
      <c r="I7" s="20" t="s">
        <v>17</v>
      </c>
      <c r="J7" s="7"/>
    </row>
    <row r="8" ht="22.5" customHeight="1">
      <c r="A8" s="5"/>
      <c r="B8" s="7"/>
      <c r="C8" s="23"/>
      <c r="D8" s="11" t="s">
        <v>18</v>
      </c>
      <c r="E8" s="11" t="s">
        <v>19</v>
      </c>
      <c r="F8" s="11" t="s">
        <v>20</v>
      </c>
      <c r="G8" s="24" t="s">
        <v>19</v>
      </c>
      <c r="H8" s="24" t="s">
        <v>19</v>
      </c>
      <c r="I8" s="8" t="s">
        <v>21</v>
      </c>
      <c r="J8" s="9"/>
    </row>
    <row r="9">
      <c r="A9" s="16">
        <v>46126.0</v>
      </c>
      <c r="B9" s="12"/>
      <c r="C9" s="25" t="s">
        <v>98</v>
      </c>
      <c r="D9" s="26" t="s">
        <v>34</v>
      </c>
      <c r="E9" s="27">
        <v>619.0</v>
      </c>
      <c r="F9" s="28"/>
      <c r="G9" s="29"/>
      <c r="H9" s="30">
        <f>(G6-C6+1)*700*I15</f>
        <v>1400</v>
      </c>
      <c r="I9" s="31" t="s">
        <v>99</v>
      </c>
      <c r="J9" s="9"/>
    </row>
    <row r="10">
      <c r="A10" s="16"/>
      <c r="B10" s="12"/>
      <c r="C10" s="25"/>
      <c r="D10" s="26"/>
      <c r="E10" s="27"/>
      <c r="F10" s="32"/>
      <c r="G10" s="29"/>
      <c r="H10" s="33"/>
      <c r="I10" s="31"/>
      <c r="J10" s="9"/>
    </row>
    <row r="11">
      <c r="A11" s="16"/>
      <c r="B11" s="12"/>
      <c r="C11" s="25"/>
      <c r="D11" s="26"/>
      <c r="E11" s="27"/>
      <c r="F11" s="32"/>
      <c r="G11" s="29"/>
      <c r="H11" s="33"/>
      <c r="I11" s="31"/>
      <c r="J11" s="9"/>
    </row>
    <row r="12">
      <c r="A12" s="16"/>
      <c r="B12" s="12"/>
      <c r="C12" s="25"/>
      <c r="D12" s="26"/>
      <c r="E12" s="27"/>
      <c r="F12" s="32"/>
      <c r="G12" s="29"/>
      <c r="H12" s="33"/>
      <c r="I12" s="31"/>
      <c r="J12" s="9"/>
    </row>
    <row r="13">
      <c r="A13" s="16"/>
      <c r="B13" s="12"/>
      <c r="C13" s="25"/>
      <c r="D13" s="26"/>
      <c r="E13" s="27"/>
      <c r="F13" s="32"/>
      <c r="G13" s="29"/>
      <c r="H13" s="33"/>
      <c r="I13" s="31"/>
      <c r="J13" s="9"/>
    </row>
    <row r="14">
      <c r="A14" s="16"/>
      <c r="B14" s="12"/>
      <c r="C14" s="25"/>
      <c r="D14" s="26"/>
      <c r="E14" s="27"/>
      <c r="F14" s="32"/>
      <c r="G14" s="29"/>
      <c r="H14" s="33"/>
      <c r="I14" s="31"/>
      <c r="J14" s="9"/>
    </row>
    <row r="15" ht="20.25" customHeight="1">
      <c r="A15" s="34"/>
      <c r="B15" s="12"/>
      <c r="C15" s="35"/>
      <c r="D15" s="26"/>
      <c r="E15" s="29"/>
      <c r="F15" s="28"/>
      <c r="G15" s="29"/>
      <c r="H15" s="33"/>
      <c r="I15" s="31">
        <v>2.0</v>
      </c>
      <c r="J15" s="36" t="s">
        <v>26</v>
      </c>
    </row>
    <row r="16" ht="22.5" customHeight="1">
      <c r="A16" s="37" t="s">
        <v>27</v>
      </c>
      <c r="B16" s="12"/>
      <c r="C16" s="9"/>
      <c r="D16" s="38"/>
      <c r="E16" s="39">
        <f>SUM(E9:E15)</f>
        <v>619</v>
      </c>
      <c r="F16" s="38"/>
      <c r="G16" s="39">
        <f>SUM(G9:G15)</f>
        <v>0</v>
      </c>
      <c r="H16" s="39">
        <f>sum(H9:H15)</f>
        <v>1400</v>
      </c>
      <c r="I16" s="40">
        <f>SUM(E16:H16)</f>
        <v>2019</v>
      </c>
      <c r="J16" s="9"/>
    </row>
    <row r="17" ht="8.2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</row>
    <row r="18" ht="21.0" customHeight="1">
      <c r="A18" s="42" t="s">
        <v>28</v>
      </c>
      <c r="C18" s="43"/>
      <c r="D18" s="42" t="s">
        <v>29</v>
      </c>
      <c r="E18" s="43"/>
      <c r="F18" s="44" t="s">
        <v>30</v>
      </c>
      <c r="G18" s="43"/>
      <c r="H18" s="43"/>
      <c r="I18" s="45" t="s">
        <v>31</v>
      </c>
      <c r="J18" s="43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9.5" customHeight="1">
      <c r="A19" s="47"/>
      <c r="B19" s="47"/>
      <c r="C19" s="47"/>
      <c r="D19" s="47"/>
      <c r="E19" s="47"/>
      <c r="F19" s="47"/>
      <c r="G19" s="47"/>
      <c r="H19" s="47"/>
      <c r="I19" s="47"/>
      <c r="J19" s="47"/>
    </row>
    <row r="20" ht="12.75" customHeight="1">
      <c r="I20" s="48"/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33">
    <mergeCell ref="A1:J1"/>
    <mergeCell ref="A2:J3"/>
    <mergeCell ref="A4:B4"/>
    <mergeCell ref="E4:G4"/>
    <mergeCell ref="I4:J4"/>
    <mergeCell ref="A5:B5"/>
    <mergeCell ref="C5:J5"/>
    <mergeCell ref="A6:B6"/>
    <mergeCell ref="C6:E6"/>
    <mergeCell ref="G6:I6"/>
    <mergeCell ref="A7:B8"/>
    <mergeCell ref="C7:C8"/>
    <mergeCell ref="D7:E7"/>
    <mergeCell ref="F7:G7"/>
    <mergeCell ref="I13:J13"/>
    <mergeCell ref="I14:J14"/>
    <mergeCell ref="I7:J7"/>
    <mergeCell ref="I8:J8"/>
    <mergeCell ref="H9:H15"/>
    <mergeCell ref="I9:J9"/>
    <mergeCell ref="I10:J10"/>
    <mergeCell ref="I11:J11"/>
    <mergeCell ref="I12:J12"/>
    <mergeCell ref="I16:J16"/>
    <mergeCell ref="A16:C16"/>
    <mergeCell ref="A18:B18"/>
    <mergeCell ref="A9:B9"/>
    <mergeCell ref="A10:B10"/>
    <mergeCell ref="A11:B11"/>
    <mergeCell ref="A12:B12"/>
    <mergeCell ref="A13:B13"/>
    <mergeCell ref="A14:B14"/>
    <mergeCell ref="A15:B15"/>
  </mergeCells>
  <dataValidations>
    <dataValidation type="list" allowBlank="1" showErrorMessage="1" sqref="D9:D15">
      <formula1>"高鐵,計程車,台鐵,捷運,自行開車"</formula1>
    </dataValidation>
    <dataValidation type="list" allowBlank="1" showErrorMessage="1" sqref="E4">
      <formula1>"總公司,嶼嶼行銷,影音部"</formula1>
    </dataValidation>
    <dataValidation type="custom" allowBlank="1" showDropDown="1" showInputMessage="1" showErrorMessage="1" prompt="輸入有效日期" sqref="C6 G6 A9:A15">
      <formula1>OR(NOT(ISERROR(DATEVALUE(A6))), AND(ISNUMBER(A6), LEFT(CELL("format", A6))="D"))</formula1>
    </dataValidation>
  </dataValidations>
  <printOptions horizontalCentered="1"/>
  <pageMargins bottom="0.75" footer="0.0" header="0.0" left="0.25" right="0.25" top="0.75"/>
  <pageSetup paperSize="9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7.38"/>
    <col customWidth="1" min="3" max="3" width="15.88"/>
    <col customWidth="1" min="4" max="4" width="15.25"/>
    <col customWidth="1" min="5" max="5" width="9.38"/>
    <col customWidth="1" min="6" max="6" width="14.88"/>
    <col customWidth="1" min="7" max="7" width="10.38"/>
    <col customWidth="1" min="8" max="8" width="13.38"/>
    <col customWidth="1" min="9" max="9" width="28.75"/>
    <col customWidth="1" min="10" max="10" width="11.13"/>
    <col customWidth="1" min="11" max="26" width="11.0"/>
  </cols>
  <sheetData>
    <row r="1" ht="78.0" customHeight="1">
      <c r="A1" s="1"/>
    </row>
    <row r="2" ht="24.0" customHeight="1">
      <c r="A2" s="2" t="s">
        <v>0</v>
      </c>
      <c r="B2" s="3"/>
      <c r="C2" s="3"/>
      <c r="D2" s="3"/>
      <c r="E2" s="3"/>
      <c r="F2" s="3"/>
      <c r="G2" s="3"/>
      <c r="H2" s="3"/>
      <c r="I2" s="3"/>
      <c r="J2" s="4"/>
    </row>
    <row r="3" ht="10.5" customHeight="1">
      <c r="A3" s="5"/>
      <c r="B3" s="6"/>
      <c r="C3" s="6"/>
      <c r="D3" s="6"/>
      <c r="E3" s="6"/>
      <c r="F3" s="6"/>
      <c r="G3" s="6"/>
      <c r="H3" s="6"/>
      <c r="I3" s="6"/>
      <c r="J3" s="7"/>
    </row>
    <row r="4" ht="22.5" customHeight="1">
      <c r="A4" s="8" t="s">
        <v>1</v>
      </c>
      <c r="B4" s="9"/>
      <c r="C4" s="10"/>
      <c r="D4" s="11" t="s">
        <v>3</v>
      </c>
      <c r="E4" s="8" t="s">
        <v>4</v>
      </c>
      <c r="F4" s="12"/>
      <c r="G4" s="9"/>
      <c r="H4" s="13" t="s">
        <v>5</v>
      </c>
      <c r="I4" s="14"/>
      <c r="J4" s="9"/>
    </row>
    <row r="5" ht="22.5" customHeight="1">
      <c r="A5" s="8" t="s">
        <v>7</v>
      </c>
      <c r="B5" s="9"/>
      <c r="C5" s="15"/>
      <c r="D5" s="3"/>
      <c r="E5" s="3"/>
      <c r="F5" s="3"/>
      <c r="G5" s="3"/>
      <c r="H5" s="3"/>
      <c r="I5" s="3"/>
      <c r="J5" s="4"/>
    </row>
    <row r="6" ht="22.5" customHeight="1">
      <c r="A6" s="8" t="s">
        <v>9</v>
      </c>
      <c r="B6" s="9"/>
      <c r="C6" s="16"/>
      <c r="D6" s="12"/>
      <c r="E6" s="12"/>
      <c r="F6" s="11" t="s">
        <v>10</v>
      </c>
      <c r="G6" s="16"/>
      <c r="H6" s="12"/>
      <c r="I6" s="12"/>
      <c r="J6" s="17" t="s">
        <v>11</v>
      </c>
    </row>
    <row r="7" ht="22.5" customHeight="1">
      <c r="A7" s="18" t="s">
        <v>12</v>
      </c>
      <c r="B7" s="4"/>
      <c r="C7" s="19" t="s">
        <v>13</v>
      </c>
      <c r="D7" s="20" t="s">
        <v>14</v>
      </c>
      <c r="E7" s="7"/>
      <c r="F7" s="21" t="s">
        <v>15</v>
      </c>
      <c r="G7" s="7"/>
      <c r="H7" s="22" t="s">
        <v>16</v>
      </c>
      <c r="I7" s="20" t="s">
        <v>17</v>
      </c>
      <c r="J7" s="7"/>
    </row>
    <row r="8" ht="22.5" customHeight="1">
      <c r="A8" s="5"/>
      <c r="B8" s="7"/>
      <c r="C8" s="23"/>
      <c r="D8" s="11" t="s">
        <v>18</v>
      </c>
      <c r="E8" s="11" t="s">
        <v>19</v>
      </c>
      <c r="F8" s="11" t="s">
        <v>20</v>
      </c>
      <c r="G8" s="24" t="s">
        <v>19</v>
      </c>
      <c r="H8" s="24" t="s">
        <v>19</v>
      </c>
      <c r="I8" s="8" t="s">
        <v>21</v>
      </c>
      <c r="J8" s="9"/>
    </row>
    <row r="9">
      <c r="A9" s="16"/>
      <c r="B9" s="12"/>
      <c r="C9" s="25"/>
      <c r="D9" s="26"/>
      <c r="E9" s="27"/>
      <c r="F9" s="28"/>
      <c r="G9" s="29"/>
      <c r="H9" s="30">
        <f>(G6-C6+1)*700*I15</f>
        <v>0</v>
      </c>
      <c r="I9" s="31"/>
      <c r="J9" s="9"/>
    </row>
    <row r="10">
      <c r="A10" s="16"/>
      <c r="B10" s="12"/>
      <c r="C10" s="25"/>
      <c r="D10" s="26"/>
      <c r="E10" s="27"/>
      <c r="F10" s="32"/>
      <c r="G10" s="29"/>
      <c r="H10" s="33"/>
      <c r="I10" s="31"/>
      <c r="J10" s="9"/>
    </row>
    <row r="11">
      <c r="A11" s="16"/>
      <c r="B11" s="12"/>
      <c r="C11" s="25"/>
      <c r="D11" s="26"/>
      <c r="E11" s="27"/>
      <c r="F11" s="32"/>
      <c r="G11" s="29"/>
      <c r="H11" s="33"/>
      <c r="I11" s="31"/>
      <c r="J11" s="9"/>
    </row>
    <row r="12">
      <c r="A12" s="16"/>
      <c r="B12" s="12"/>
      <c r="C12" s="25"/>
      <c r="D12" s="26"/>
      <c r="E12" s="27"/>
      <c r="F12" s="32"/>
      <c r="G12" s="29"/>
      <c r="H12" s="33"/>
      <c r="I12" s="31"/>
      <c r="J12" s="9"/>
    </row>
    <row r="13">
      <c r="A13" s="16"/>
      <c r="B13" s="12"/>
      <c r="C13" s="25"/>
      <c r="D13" s="26"/>
      <c r="E13" s="27"/>
      <c r="F13" s="32"/>
      <c r="G13" s="29"/>
      <c r="H13" s="33"/>
      <c r="I13" s="31"/>
      <c r="J13" s="9"/>
    </row>
    <row r="14">
      <c r="A14" s="16"/>
      <c r="B14" s="12"/>
      <c r="C14" s="25"/>
      <c r="D14" s="26"/>
      <c r="E14" s="27"/>
      <c r="F14" s="32"/>
      <c r="G14" s="29"/>
      <c r="H14" s="33"/>
      <c r="I14" s="31"/>
      <c r="J14" s="9"/>
    </row>
    <row r="15" ht="20.25" customHeight="1">
      <c r="A15" s="34"/>
      <c r="B15" s="12"/>
      <c r="C15" s="35"/>
      <c r="D15" s="26"/>
      <c r="E15" s="29"/>
      <c r="F15" s="28"/>
      <c r="G15" s="29"/>
      <c r="H15" s="33"/>
      <c r="I15" s="31"/>
      <c r="J15" s="36" t="s">
        <v>26</v>
      </c>
    </row>
    <row r="16" ht="22.5" customHeight="1">
      <c r="A16" s="37" t="s">
        <v>27</v>
      </c>
      <c r="B16" s="12"/>
      <c r="C16" s="9"/>
      <c r="D16" s="38"/>
      <c r="E16" s="39">
        <f>SUM(E9:E15)</f>
        <v>0</v>
      </c>
      <c r="F16" s="38"/>
      <c r="G16" s="39">
        <f>SUM(G9:G15)</f>
        <v>0</v>
      </c>
      <c r="H16" s="39">
        <f>sum(H9:H15)</f>
        <v>0</v>
      </c>
      <c r="I16" s="40">
        <f>SUM(E16:H16)</f>
        <v>0</v>
      </c>
      <c r="J16" s="9"/>
    </row>
    <row r="17" ht="8.2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</row>
    <row r="18" ht="21.0" customHeight="1">
      <c r="A18" s="42" t="s">
        <v>28</v>
      </c>
      <c r="C18" s="43"/>
      <c r="D18" s="42" t="s">
        <v>29</v>
      </c>
      <c r="E18" s="43"/>
      <c r="F18" s="44" t="s">
        <v>30</v>
      </c>
      <c r="G18" s="43"/>
      <c r="H18" s="43"/>
      <c r="I18" s="45" t="s">
        <v>31</v>
      </c>
      <c r="J18" s="43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9.5" customHeight="1">
      <c r="A19" s="47"/>
      <c r="B19" s="47"/>
      <c r="C19" s="47"/>
      <c r="D19" s="47"/>
      <c r="E19" s="47"/>
      <c r="F19" s="47"/>
      <c r="G19" s="47"/>
      <c r="H19" s="47"/>
      <c r="I19" s="47"/>
      <c r="J19" s="47"/>
    </row>
    <row r="20" ht="12.75" customHeight="1">
      <c r="I20" s="48"/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33">
    <mergeCell ref="A1:J1"/>
    <mergeCell ref="A2:J3"/>
    <mergeCell ref="A4:B4"/>
    <mergeCell ref="E4:G4"/>
    <mergeCell ref="I4:J4"/>
    <mergeCell ref="A5:B5"/>
    <mergeCell ref="C5:J5"/>
    <mergeCell ref="I7:J7"/>
    <mergeCell ref="I8:J8"/>
    <mergeCell ref="I16:J16"/>
    <mergeCell ref="A16:C16"/>
    <mergeCell ref="A18:B18"/>
    <mergeCell ref="I13:J13"/>
    <mergeCell ref="I14:J14"/>
    <mergeCell ref="H9:H15"/>
    <mergeCell ref="I9:J9"/>
    <mergeCell ref="I10:J10"/>
    <mergeCell ref="I11:J11"/>
    <mergeCell ref="I12:J12"/>
    <mergeCell ref="A9:B9"/>
    <mergeCell ref="A10:B10"/>
    <mergeCell ref="A11:B11"/>
    <mergeCell ref="A12:B12"/>
    <mergeCell ref="A13:B13"/>
    <mergeCell ref="A14:B14"/>
    <mergeCell ref="A15:B15"/>
    <mergeCell ref="A6:B6"/>
    <mergeCell ref="C6:E6"/>
    <mergeCell ref="G6:I6"/>
    <mergeCell ref="A7:B8"/>
    <mergeCell ref="C7:C8"/>
    <mergeCell ref="D7:E7"/>
    <mergeCell ref="F7:G7"/>
  </mergeCells>
  <dataValidations>
    <dataValidation type="list" allowBlank="1" showErrorMessage="1" sqref="D9:D15">
      <formula1>"高鐵,計程車,台鐵,捷運,自行開車"</formula1>
    </dataValidation>
    <dataValidation type="list" allowBlank="1" showErrorMessage="1" sqref="E4">
      <formula1>"總公司,嶼嶼行銷,影音部"</formula1>
    </dataValidation>
    <dataValidation type="custom" allowBlank="1" showDropDown="1" showInputMessage="1" showErrorMessage="1" prompt="輸入有效日期" sqref="C6 G6 A9:A15">
      <formula1>OR(NOT(ISERROR(DATEVALUE(A6))), AND(ISNUMBER(A6), LEFT(CELL("format", A6))="D"))</formula1>
    </dataValidation>
  </dataValidations>
  <printOptions horizontalCentered="1"/>
  <pageMargins bottom="0.75" footer="0.0" header="0.0" left="0.25" right="0.25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